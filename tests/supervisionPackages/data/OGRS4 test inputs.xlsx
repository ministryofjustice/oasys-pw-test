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.hoirns/Downloads/"/>
    </mc:Choice>
  </mc:AlternateContent>
  <xr:revisionPtr revIDLastSave="0" documentId="13_ncr:1_{AFE7680B-78BE-C241-B1D6-4FDB0FF9649E}" xr6:coauthVersionLast="47" xr6:coauthVersionMax="47" xr10:uidLastSave="{00000000-0000-0000-0000-000000000000}"/>
  <bookViews>
    <workbookView xWindow="62520" yWindow="-180" windowWidth="44500" windowHeight="24900" activeTab="6" xr2:uid="{A754F796-5A0B-42E9-8362-A0C9C3BDEB7F}"/>
  </bookViews>
  <sheets>
    <sheet name="Sheet1" sheetId="6" state="hidden" r:id="rId1"/>
    <sheet name="OGRS" sheetId="2" state="hidden" r:id="rId2"/>
    <sheet name="OVP" sheetId="3" state="hidden" r:id="rId3"/>
    <sheet name="OSP-DC" sheetId="4" state="hidden" r:id="rId4"/>
    <sheet name="OSP-IIC" sheetId="5" state="hidden" r:id="rId5"/>
    <sheet name="IIC DC Comparison" sheetId="8" state="hidden" r:id="rId6"/>
    <sheet name="CRNs" sheetId="12" r:id="rId7"/>
    <sheet name="Test data" sheetId="9" r:id="rId8"/>
    <sheet name="Ref" sheetId="13" r:id="rId9"/>
    <sheet name="AAED Workout" sheetId="11" state="hidden" r:id="rId10"/>
    <sheet name="Unused Questions" sheetId="10" state="hidden" r:id="rId11"/>
  </sheets>
  <definedNames>
    <definedName name="_xlnm._FilterDatabase" localSheetId="10" hidden="1">'Unused Questions'!$A$1:$H$90</definedName>
    <definedName name="assessmentTypes">Ref!$A$2:$A$5</definedName>
    <definedName name="scenarios">Table2[[#Headers],[Missing]:[G prov]]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1" l="1"/>
  <c r="K10" i="11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K14" i="11" l="1"/>
  <c r="E20" i="8"/>
  <c r="D20" i="8"/>
  <c r="D16" i="8"/>
  <c r="E16" i="8" s="1"/>
  <c r="E18" i="8"/>
  <c r="E19" i="8"/>
  <c r="E21" i="8"/>
  <c r="E22" i="8"/>
  <c r="E15" i="8"/>
  <c r="C6" i="6"/>
  <c r="D6" i="6" s="1"/>
  <c r="B6" i="6"/>
  <c r="D4" i="6"/>
  <c r="C4" i="6"/>
  <c r="B4" i="6"/>
  <c r="D2" i="6"/>
  <c r="D17" i="8" l="1"/>
  <c r="E17" i="8" s="1"/>
</calcChain>
</file>

<file path=xl/sharedStrings.xml><?xml version="1.0" encoding="utf-8"?>
<sst xmlns="http://schemas.openxmlformats.org/spreadsheetml/2006/main" count="1330" uniqueCount="399">
  <si>
    <t>Gender</t>
  </si>
  <si>
    <t>Total Sanctions</t>
  </si>
  <si>
    <t>Violent Sanctions</t>
  </si>
  <si>
    <t>Offence Code</t>
  </si>
  <si>
    <t>Community Date</t>
  </si>
  <si>
    <t>Age at First Sanction</t>
  </si>
  <si>
    <t>Last Sanction Date</t>
  </si>
  <si>
    <t>Date of Birth</t>
  </si>
  <si>
    <t>3.4 Suitability of Accommodation</t>
  </si>
  <si>
    <t>4.2 Unemployed</t>
  </si>
  <si>
    <t>6.4 Relationship with Partner</t>
  </si>
  <si>
    <t>6.7 Domestic Abuse</t>
  </si>
  <si>
    <t>9.1 Current Alcohol Use a Problem</t>
  </si>
  <si>
    <t>9.2 Binge Drinker</t>
  </si>
  <si>
    <t>11.2 Impulsivity</t>
  </si>
  <si>
    <t>11.4 Temper Control</t>
  </si>
  <si>
    <t>12.1 Pro-Criminal Attitudes</t>
  </si>
  <si>
    <t>Robbery</t>
  </si>
  <si>
    <t>Arson</t>
  </si>
  <si>
    <t>OGRS3</t>
  </si>
  <si>
    <t>OGRS4</t>
  </si>
  <si>
    <t>With SNSV/SVRP</t>
  </si>
  <si>
    <t>No Sanctions</t>
  </si>
  <si>
    <t>Sub Total</t>
  </si>
  <si>
    <t>No RSR (Missing OSP)</t>
  </si>
  <si>
    <t>Current</t>
  </si>
  <si>
    <t>OGRS4G</t>
  </si>
  <si>
    <t>OGP2</t>
  </si>
  <si>
    <t>Age at sentence (or current age for Pre-Sentence Reports)</t>
  </si>
  <si>
    <t>Assessment Date</t>
  </si>
  <si>
    <t>Previous Sanctions</t>
  </si>
  <si>
    <t>Age at first sanction</t>
  </si>
  <si>
    <t>Offence </t>
  </si>
  <si>
    <t>Offence</t>
  </si>
  <si>
    <t>Last Sanction Date (in ROSHA)</t>
  </si>
  <si>
    <t>Date of Birth (in ROSHA)</t>
  </si>
  <si>
    <t>Community Date (in ROSHA)</t>
  </si>
  <si>
    <t>6.8 Relationship Status</t>
  </si>
  <si>
    <t>7.2 Regular Activities Encourage Offending</t>
  </si>
  <si>
    <t>Heroin</t>
  </si>
  <si>
    <t>Other Opiate</t>
  </si>
  <si>
    <t>Crack Cocaine</t>
  </si>
  <si>
    <t>Powder Cocaine</t>
  </si>
  <si>
    <t>Misused Prescribed</t>
  </si>
  <si>
    <t>Benzodiazepines</t>
  </si>
  <si>
    <t>Cannabis</t>
  </si>
  <si>
    <t>Steroids</t>
  </si>
  <si>
    <t>Other Drugs</t>
  </si>
  <si>
    <t>Ketamine</t>
  </si>
  <si>
    <t>Spice</t>
  </si>
  <si>
    <t>Hallucinogens</t>
  </si>
  <si>
    <t>Solvents</t>
  </si>
  <si>
    <t>8.8 Motivation to Tackle Drug Issues</t>
  </si>
  <si>
    <t>Low</t>
  </si>
  <si>
    <t>OVP Static</t>
  </si>
  <si>
    <t>OGRS4V</t>
  </si>
  <si>
    <t>OVP Dynamic</t>
  </si>
  <si>
    <t>OVP2</t>
  </si>
  <si>
    <t>2.6 Recognise Impact of Offending</t>
  </si>
  <si>
    <t>N/A</t>
  </si>
  <si>
    <t>3.3 No Fixed Abode</t>
  </si>
  <si>
    <t>3.5 Permanence of Accommodation</t>
  </si>
  <si>
    <t>3.6 Suitability of Location of Accommodation</t>
  </si>
  <si>
    <t>4.3 Employment History</t>
  </si>
  <si>
    <t>4.4  Work Related Skills</t>
  </si>
  <si>
    <t>4.5 Attitude to Employment</t>
  </si>
  <si>
    <t>10.7 Psychiatric Issues</t>
  </si>
  <si>
    <t>12.4 Attitudes towards supervision</t>
  </si>
  <si>
    <t>12.5 Attitudes towards community</t>
  </si>
  <si>
    <t>12.8 Motivation to Address Offending Behaviour</t>
  </si>
  <si>
    <t>6.4 Current Relationship with Partner</t>
  </si>
  <si>
    <t>6.8 Current Relationship Status</t>
  </si>
  <si>
    <t>Powered Cocaine</t>
  </si>
  <si>
    <t>Misused Prescribed Drugs</t>
  </si>
  <si>
    <t>Other Opiates</t>
  </si>
  <si>
    <t>Methadone</t>
  </si>
  <si>
    <t>8.8 Motivation to Address Drug Behaviour</t>
  </si>
  <si>
    <t>Contact Adult Sanctions</t>
  </si>
  <si>
    <t>Contact Child Sanctions</t>
  </si>
  <si>
    <t>Paraphilia Sanctions</t>
  </si>
  <si>
    <t>Date of Most Recent Sexual Sanction</t>
  </si>
  <si>
    <t>Victim was a Stranger</t>
  </si>
  <si>
    <t>Indecent Images Sanctions</t>
  </si>
  <si>
    <t>IIC</t>
  </si>
  <si>
    <t>DC</t>
  </si>
  <si>
    <t>Male</t>
  </si>
  <si>
    <t>IIC %</t>
  </si>
  <si>
    <t>DC Score</t>
  </si>
  <si>
    <t>1 Contact Adult</t>
  </si>
  <si>
    <t>2 Contact Adult</t>
  </si>
  <si>
    <t>3+ Contact Adult</t>
  </si>
  <si>
    <t>1 Child</t>
  </si>
  <si>
    <t>2 or more Child</t>
  </si>
  <si>
    <t>3+ Child</t>
  </si>
  <si>
    <t>1 Indecent Image</t>
  </si>
  <si>
    <t>2 or more indecent image</t>
  </si>
  <si>
    <t>Multiply 1 above by 100</t>
  </si>
  <si>
    <t xml:space="preserve">1 Child </t>
  </si>
  <si>
    <t>ARP static</t>
  </si>
  <si>
    <t>ARP dynamic</t>
  </si>
  <si>
    <t>CSRP static</t>
  </si>
  <si>
    <t>CSRP dynamic</t>
  </si>
  <si>
    <t/>
  </si>
  <si>
    <t>Y</t>
  </si>
  <si>
    <t>maleaaiaaiaai</t>
  </si>
  <si>
    <t>maleaaiaaiaaiaai</t>
  </si>
  <si>
    <t>aaiaaiaaifemale</t>
  </si>
  <si>
    <t>aaiaaiaaiaaifemale</t>
  </si>
  <si>
    <t>malethreeplussanctionsogrs4g_rat</t>
  </si>
  <si>
    <t>femalethreeplussanctionsogrs4g_r</t>
  </si>
  <si>
    <t>malethreeplussanctionsogrs4g_rao</t>
  </si>
  <si>
    <t>femalethreeplussanctionsogrs4g_o</t>
  </si>
  <si>
    <t>ofmofmofm</t>
  </si>
  <si>
    <t>ofmofmofmofm</t>
  </si>
  <si>
    <t>malethreeplussanctionsogrs4v_rat</t>
  </si>
  <si>
    <t>femalethreeplussanctionsogrs4v_r</t>
  </si>
  <si>
    <t>maleneverviolent</t>
  </si>
  <si>
    <t>femaleneverviolent</t>
  </si>
  <si>
    <t>onceviolent</t>
  </si>
  <si>
    <t>ogrs3_ovp_sanct</t>
  </si>
  <si>
    <t>ogrs4v_rate_violent</t>
  </si>
  <si>
    <t>Violence against the person (ABH+)</t>
  </si>
  <si>
    <t>Firearms (most serious)</t>
  </si>
  <si>
    <t>Firearms (other)</t>
  </si>
  <si>
    <t>Weapons (non-firearm)</t>
  </si>
  <si>
    <t>S2Q2A</t>
  </si>
  <si>
    <t>S3Q4</t>
  </si>
  <si>
    <t>S4Q2</t>
  </si>
  <si>
    <t>S3Q2_PARTNER</t>
  </si>
  <si>
    <t>S6Q4</t>
  </si>
  <si>
    <t>S3Q2_PARTNERS6Q4</t>
  </si>
  <si>
    <t>S6Q7_PERP</t>
  </si>
  <si>
    <t>S7Q2</t>
  </si>
  <si>
    <t>heroin</t>
  </si>
  <si>
    <t>methadone</t>
  </si>
  <si>
    <t>otheropiate</t>
  </si>
  <si>
    <t>crack</t>
  </si>
  <si>
    <t>cokepowder</t>
  </si>
  <si>
    <t>prescribed</t>
  </si>
  <si>
    <t>benzo</t>
  </si>
  <si>
    <t>amphetamine</t>
  </si>
  <si>
    <t>ecstasy</t>
  </si>
  <si>
    <t>cannabis</t>
  </si>
  <si>
    <t>steroid</t>
  </si>
  <si>
    <t>otherdrug_code_iln</t>
  </si>
  <si>
    <t>dailydrug</t>
  </si>
  <si>
    <t>S8Q8</t>
  </si>
  <si>
    <t>S9Q1</t>
  </si>
  <si>
    <t>S9Q2</t>
  </si>
  <si>
    <t>S11Q2</t>
  </si>
  <si>
    <t>S11Q4</t>
  </si>
  <si>
    <t>S12Q1</t>
  </si>
  <si>
    <t>pasthomicide</t>
  </si>
  <si>
    <t>pastwoundinggbh</t>
  </si>
  <si>
    <t>pastkidnap</t>
  </si>
  <si>
    <t>pastfirearm</t>
  </si>
  <si>
    <t>pastrobbery</t>
  </si>
  <si>
    <t>pastaggrburg</t>
  </si>
  <si>
    <t>pastweapon</t>
  </si>
  <si>
    <t>pastcdlife</t>
  </si>
  <si>
    <t>pastarson</t>
  </si>
  <si>
    <t>Parameter</t>
  </si>
  <si>
    <t>OGRS4_G</t>
  </si>
  <si>
    <t>OGRS4_V</t>
  </si>
  <si>
    <t>OVP_2</t>
  </si>
  <si>
    <t>OGP_2</t>
  </si>
  <si>
    <t>RSR_SNSV_BRIEF</t>
  </si>
  <si>
    <t>RSR_SNSV_EXTENDED</t>
  </si>
  <si>
    <t>maleaai</t>
  </si>
  <si>
    <t>maleaaiaai</t>
  </si>
  <si>
    <t>female</t>
  </si>
  <si>
    <t>aaifemale</t>
  </si>
  <si>
    <t>aaiaaifemale</t>
  </si>
  <si>
    <t>Violence against the person (sub-ABH)</t>
  </si>
  <si>
    <t>Drunkenness</t>
  </si>
  <si>
    <t>Handling stolen goods</t>
  </si>
  <si>
    <t>Sexual (not against child)</t>
  </si>
  <si>
    <t>Welfare fraud</t>
  </si>
  <si>
    <t>Absconding/bail</t>
  </si>
  <si>
    <t>Burglary (other)</t>
  </si>
  <si>
    <t>Acquisitive violence</t>
  </si>
  <si>
    <t>Vehicle-related theft</t>
  </si>
  <si>
    <t>Sexual (against child)</t>
  </si>
  <si>
    <t>Burglary (domestic)</t>
  </si>
  <si>
    <t>Other offences</t>
  </si>
  <si>
    <t>Drug import/export/production</t>
  </si>
  <si>
    <t>Criminal damage</t>
  </si>
  <si>
    <t>Motoring offences</t>
  </si>
  <si>
    <t>Fraud and forgery</t>
  </si>
  <si>
    <t>Drink driving</t>
  </si>
  <si>
    <t>Public order and harassment</t>
  </si>
  <si>
    <t>Drug possession/supply</t>
  </si>
  <si>
    <t>Theft (non-motor)</t>
  </si>
  <si>
    <t>firstsanction</t>
  </si>
  <si>
    <t>secondsanction</t>
  </si>
  <si>
    <t>ogrs3_sanctionoccasions</t>
  </si>
  <si>
    <t>malesecondsanctionyearssincefirs</t>
  </si>
  <si>
    <t>femalesecondsanctionyearssincefi</t>
  </si>
  <si>
    <t>ofm</t>
  </si>
  <si>
    <t>ofmofm</t>
  </si>
  <si>
    <t>Investigate</t>
  </si>
  <si>
    <t>Outcome</t>
  </si>
  <si>
    <t>OK</t>
  </si>
  <si>
    <t>Remove SNSV Dynamic</t>
  </si>
  <si>
    <t>Remove OVP2</t>
  </si>
  <si>
    <t>OK Ignore as used for first two</t>
  </si>
  <si>
    <t>OK OGRS4G &amp; OGP2 no action required</t>
  </si>
  <si>
    <t>OK OGRS4V, OVP2, SNSV Static and Dynamic</t>
  </si>
  <si>
    <t>Offence Category rather than a question</t>
  </si>
  <si>
    <t>Not Checked</t>
  </si>
  <si>
    <t>OK Remove SNSV Dynamic - no it is not checked</t>
  </si>
  <si>
    <t>Used in OGP2, OVP2 leave it as it works</t>
  </si>
  <si>
    <t>Fixed</t>
  </si>
  <si>
    <t>1.40</t>
  </si>
  <si>
    <t>1.29</t>
  </si>
  <si>
    <t>2.2</t>
  </si>
  <si>
    <t>3.4</t>
  </si>
  <si>
    <t>4.2</t>
  </si>
  <si>
    <t>6.4</t>
  </si>
  <si>
    <t>6.7.2.1da</t>
  </si>
  <si>
    <t>6.8</t>
  </si>
  <si>
    <t>7.2</t>
  </si>
  <si>
    <t>8.8</t>
  </si>
  <si>
    <t>12.1</t>
  </si>
  <si>
    <t>11.2</t>
  </si>
  <si>
    <t>11.4</t>
  </si>
  <si>
    <t>9.1</t>
  </si>
  <si>
    <t>9.2</t>
  </si>
  <si>
    <t>Description</t>
  </si>
  <si>
    <t>1.34</t>
  </si>
  <si>
    <t>1.45</t>
  </si>
  <si>
    <t>1.46</t>
  </si>
  <si>
    <t>1.37</t>
  </si>
  <si>
    <t>1.44</t>
  </si>
  <si>
    <t>1.8</t>
  </si>
  <si>
    <t>1.33</t>
  </si>
  <si>
    <t>1.41</t>
  </si>
  <si>
    <t>1.43</t>
  </si>
  <si>
    <t>1.30</t>
  </si>
  <si>
    <t>1.38</t>
  </si>
  <si>
    <t>Total number of sanctions for all offences</t>
  </si>
  <si>
    <t>How many of the total number of sanctions involved violent offences?</t>
  </si>
  <si>
    <t>Date of current conviction</t>
  </si>
  <si>
    <t>Have they ever committed a sexual or sexually motivated offence?</t>
  </si>
  <si>
    <t>Does the current offence have a sexual motivation?</t>
  </si>
  <si>
    <t>Does the current offence involve actual/attempted direct contact against a victim who was a stranger?</t>
  </si>
  <si>
    <t>Date of most recent sanction involving a sexual/sexually motivated offence</t>
  </si>
  <si>
    <t>Number of previous/current sanctions involving contact adult sexual/sexually motivated offences</t>
  </si>
  <si>
    <t>Number of previous/current sanctions involving direct contact child sexual/sexually motivated offences</t>
  </si>
  <si>
    <t>Number of previous/current sanctions involving indecent child image or indirect child contact sexual/sexually motivated offences</t>
  </si>
  <si>
    <t>Number of previous/current sanctions involving other non-contact sexual/sexually motivated offences</t>
  </si>
  <si>
    <t>Date of commencement of community sentence or earliest possible release from custody</t>
  </si>
  <si>
    <t>Since dd/mm/yyyy, has Offender name committed any offences?  If Yes, what is the date the most recent offence was committed?</t>
  </si>
  <si>
    <t>Did the offence involve any of the following:
 - Carrying or using a weapon</t>
  </si>
  <si>
    <t>Suitability of accommodation</t>
  </si>
  <si>
    <t>Is the person unemployed, or will be unemployed on release</t>
  </si>
  <si>
    <t>Current relationship with partner</t>
  </si>
  <si>
    <t>Is there evidence of current or previous domestic abuse? - Perpetrator - Against current or former partner</t>
  </si>
  <si>
    <t>Current Relationship Status</t>
  </si>
  <si>
    <t>Regular activities encourage offending</t>
  </si>
  <si>
    <t>8.2.8.1</t>
  </si>
  <si>
    <t>8.2.7.1</t>
  </si>
  <si>
    <t>8.2.11.1</t>
  </si>
  <si>
    <t>8.2.4.1</t>
  </si>
  <si>
    <t>8.2.10.1</t>
  </si>
  <si>
    <t>8.2.9.1</t>
  </si>
  <si>
    <t>8.2.1.1</t>
  </si>
  <si>
    <t>8.2.2.1</t>
  </si>
  <si>
    <t>8.2.6.1</t>
  </si>
  <si>
    <t>8.2.14.1</t>
  </si>
  <si>
    <t>8.2.3.1</t>
  </si>
  <si>
    <t>8.2.5.1</t>
  </si>
  <si>
    <t>8.2.12.1</t>
  </si>
  <si>
    <t>8.2.13.1</t>
  </si>
  <si>
    <t>8.2.15.1</t>
  </si>
  <si>
    <t>8.2.16.1</t>
  </si>
  <si>
    <t>Amphetamines Current Usage</t>
  </si>
  <si>
    <t>Benzodiazipines Current Usage</t>
  </si>
  <si>
    <t>Cannabis Current Usage</t>
  </si>
  <si>
    <t>Crackcocaine Current Usage</t>
  </si>
  <si>
    <t>Ecstasy Current Usage</t>
  </si>
  <si>
    <t>Hallucinogens Current Usage</t>
  </si>
  <si>
    <t>Heroin Current Usage</t>
  </si>
  <si>
    <t>Ketamine Current Usage</t>
  </si>
  <si>
    <t>Methadone Current Usage</t>
  </si>
  <si>
    <t>Misusedprescribed Current Usage</t>
  </si>
  <si>
    <t>Otherdrugs Current Usage</t>
  </si>
  <si>
    <t>Otheropiate Current Usage</t>
  </si>
  <si>
    <t>Powdercocaine Current Usage</t>
  </si>
  <si>
    <t>Solvents Current Usage</t>
  </si>
  <si>
    <t>Spice Current Usage</t>
  </si>
  <si>
    <t>Steroids Current Usage</t>
  </si>
  <si>
    <t>Motivation to tackle drug misuse</t>
  </si>
  <si>
    <t>Is current use a problem</t>
  </si>
  <si>
    <t>Binge drinking or excessive use of alcohol in last 6 months</t>
  </si>
  <si>
    <t>Impulsivity</t>
  </si>
  <si>
    <t>Temper control</t>
  </si>
  <si>
    <t>Pro-criminal attitudes</t>
  </si>
  <si>
    <t>Aggravated burglary</t>
  </si>
  <si>
    <t>Criminal damage with the intent to endanger life</t>
  </si>
  <si>
    <t>Possession of a firearm with intent to endanger life or resist arrest</t>
  </si>
  <si>
    <t>Wounding / GBH (Sections 18/20 Offences Against the Person Act 1861)</t>
  </si>
  <si>
    <t>Murder / attempted murder / threat or conspiracy to murder / manslaughter</t>
  </si>
  <si>
    <t>Kidnapping / false imprisonment</t>
  </si>
  <si>
    <t>Any offence involving possession and / or use of weapons</t>
  </si>
  <si>
    <t>1.38 Community Date</t>
  </si>
  <si>
    <t>AA</t>
  </si>
  <si>
    <t>IF AGE_INDEX_P1 &lt;&gt; 0 THEN</t>
  </si>
  <si>
    <t xml:space="preserve">                AGE_INDEX := POWER(AGE,1) * AGE_INDEX_P1;</t>
  </si>
  <si>
    <t xml:space="preserve">            END IF;</t>
  </si>
  <si>
    <t xml:space="preserve">            IF AGE_INDEX_P2 &lt;&gt; 0 THEN</t>
  </si>
  <si>
    <t xml:space="preserve">                AGE_INDEX := AGE_INDEX +(AGE ** 2) * AGE_INDEX_P2;</t>
  </si>
  <si>
    <t xml:space="preserve">            IF AGE_INDEX_P3 &lt;&gt; 0 THEN</t>
  </si>
  <si>
    <t xml:space="preserve">                AGE_INDEX := AGE_INDEX +(AGE ** 3) * AGE_INDEX_P3;</t>
  </si>
  <si>
    <t xml:space="preserve">            IF AGE_INDEX_P4 &lt;&gt;0 THEN</t>
  </si>
  <si>
    <t xml:space="preserve">                AGE_INDEX := AGE_INDEX +(AGE ** 4) * AGE_INDEX_P4;</t>
  </si>
  <si>
    <t>INSERT INTO NEW_GEN_PREDICTORS (VERSION_NUM, VARIABLE_NAME, OGRS4_G, OGRS4_V, OGP_2, OVP_2, RSR_SNSV_BRIEF, RSR_SNSV_EXTENDED) VALUES (1,'maleaai',-0.142428460338541,-0.104477239763612,-0.110202179628585,-0.0645236564493287,-0.035211251525685,-0.0343861125060411);</t>
  </si>
  <si>
    <t>INSERT INTO NEW_GEN_PREDICTORS (VERSION_NUM, VARIABLE_NAME, OGRS4_G, OGRS4_V, OGP_2, OVP_2, RSR_SNSV_BRIEF, RSR_SNSV_EXTENDED) VALUES (1,'maleaaiaai',0.0011000413899151,0.0008606154365776,0.0006726723443858,0.0004644696772777,-0.0002101460036267,-0.0002060693939063);</t>
  </si>
  <si>
    <t>INSERT INTO NEW_GEN_PREDICTORS (VERSION_NUM, VARIABLE_NAME, OGRS4_G, OGRS4_V, OGP_2, OVP_2, RSR_SNSV_BRIEF, RSR_SNSV_EXTENDED) VALUES (1,'maleaaiaaiaai',0.0000198538471606,0.000013815779629,0.0000138719445957,0,0,0);</t>
  </si>
  <si>
    <t>INSERT INTO NEW_GEN_PREDICTORS (VERSION_NUM, VARIABLE_NAME, OGRS4_G, OGRS4_V, OGP_2, OVP_2, RSR_SNSV_BRIEF, RSR_SNSV_EXTENDED) VALUES (1,'maleaaiaaiaaiaai',-0.0000002648918335,-0.0000001960154357,-0.0000001610775422,0,0,0);</t>
  </si>
  <si>
    <t>No</t>
  </si>
  <si>
    <t>0-No problems</t>
  </si>
  <si>
    <t>0-No</t>
  </si>
  <si>
    <t>DC-SRP</t>
  </si>
  <si>
    <t>R1.2.6</t>
  </si>
  <si>
    <t>R1.2.7</t>
  </si>
  <si>
    <t>R1.2.8</t>
  </si>
  <si>
    <t>R1.2.10</t>
  </si>
  <si>
    <t>R1.2.2</t>
  </si>
  <si>
    <t>R1.2.1</t>
  </si>
  <si>
    <t>R1.2.9</t>
  </si>
  <si>
    <t>R1.2.12</t>
  </si>
  <si>
    <t>R1.2.13</t>
  </si>
  <si>
    <t>8.1</t>
  </si>
  <si>
    <t>CRN</t>
  </si>
  <si>
    <t>Question</t>
  </si>
  <si>
    <t>Type</t>
  </si>
  <si>
    <t>String</t>
  </si>
  <si>
    <t>Number</t>
  </si>
  <si>
    <t>Yes/No</t>
  </si>
  <si>
    <t>Drugs ever misused (in custody and community)</t>
  </si>
  <si>
    <t>Yes</t>
  </si>
  <si>
    <t>In a relationship, living together</t>
  </si>
  <si>
    <t>Not in a relationship</t>
  </si>
  <si>
    <t>ZZJMFUD</t>
  </si>
  <si>
    <t>ZEPCYUR</t>
  </si>
  <si>
    <t>ARP</t>
  </si>
  <si>
    <t>CSRP</t>
  </si>
  <si>
    <t>Tier (from predictors)</t>
  </si>
  <si>
    <t>Provisional</t>
  </si>
  <si>
    <t>ZIJJVEF</t>
  </si>
  <si>
    <t>ZAJQABE</t>
  </si>
  <si>
    <t>ZVITJUO</t>
  </si>
  <si>
    <t>ZZASONW</t>
  </si>
  <si>
    <t>ZJJQJPF</t>
  </si>
  <si>
    <t>ZAUECCF</t>
  </si>
  <si>
    <t>ZIIBAMO</t>
  </si>
  <si>
    <t>ZJHDKVT</t>
  </si>
  <si>
    <t>ZBIYFFB</t>
  </si>
  <si>
    <t>ZMNEIPD</t>
  </si>
  <si>
    <t>ZDINJDK</t>
  </si>
  <si>
    <t>ZEMOJSS</t>
  </si>
  <si>
    <t>ZWUTYWQ</t>
  </si>
  <si>
    <t>Missing</t>
  </si>
  <si>
    <t>Subcode</t>
  </si>
  <si>
    <t>User</t>
  </si>
  <si>
    <t>AUTOHEADPDU-MH</t>
  </si>
  <si>
    <t>3-digit offence code</t>
  </si>
  <si>
    <t>2-digit subcode</t>
  </si>
  <si>
    <t>028</t>
  </si>
  <si>
    <t>01</t>
  </si>
  <si>
    <t>Scenario</t>
  </si>
  <si>
    <t>A prov</t>
  </si>
  <si>
    <t>B prov</t>
  </si>
  <si>
    <t>C prov</t>
  </si>
  <si>
    <t>D prov</t>
  </si>
  <si>
    <t>E prov</t>
  </si>
  <si>
    <t>F prov</t>
  </si>
  <si>
    <t>G prov</t>
  </si>
  <si>
    <t>A</t>
  </si>
  <si>
    <t>B</t>
  </si>
  <si>
    <t>C</t>
  </si>
  <si>
    <t>D</t>
  </si>
  <si>
    <t>E</t>
  </si>
  <si>
    <t>F</t>
  </si>
  <si>
    <t>G</t>
  </si>
  <si>
    <t>001</t>
  </si>
  <si>
    <t>null</t>
  </si>
  <si>
    <t>041</t>
  </si>
  <si>
    <t>00</t>
  </si>
  <si>
    <t>Month offset</t>
  </si>
  <si>
    <t>Offender age should be 25 to get the expected predictor scores</t>
  </si>
  <si>
    <t>layer1</t>
  </si>
  <si>
    <t>rosha</t>
  </si>
  <si>
    <t>standalone</t>
  </si>
  <si>
    <t>layer3</t>
  </si>
  <si>
    <t>Assessment types</t>
  </si>
  <si>
    <t>"Missing" test is not applicable for standalone</t>
  </si>
  <si>
    <t>Date of first sanction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</si>
</sst>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2" borderId="0" xfId="0" applyFont="1" applyFill="1"/>
    <xf numFmtId="0" fontId="0" fillId="2" borderId="0" xfId="0" applyFill="1"/>
    <xf numFmtId="4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1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quotePrefix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0" fillId="0" borderId="2" xfId="0" applyNumberFormat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 wrapText="1"/>
    </xf>
    <xf numFmtId="0" fontId="4" fillId="0" borderId="0" xfId="0" applyFont="1"/>
    <xf numFmtId="0" fontId="0" fillId="0" borderId="3" xfId="0" applyFont="1" applyBorder="1"/>
  </cellXfs>
  <cellStyles count="1">
    <cellStyle name="Normal" xfId="0" builtinId="0"/>
  </cellStyles>
  <dxfs count="2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30DE6-3803-DE4C-B66A-3387E58D3410}" name="Table1" displayName="Table1" ref="A1:D16" totalsRowShown="0">
  <autoFilter ref="A1:D16" xr:uid="{67930DE6-3803-DE4C-B66A-3387E58D3410}">
    <filterColumn colId="0" hiddenButton="1"/>
    <filterColumn colId="1" hiddenButton="1"/>
    <filterColumn colId="2" hiddenButton="1"/>
    <filterColumn colId="3" hiddenButton="1"/>
  </autoFilter>
  <tableColumns count="4">
    <tableColumn id="1" xr3:uid="{F066904D-D1F8-C945-A53F-4F736D74C46E}" name="CRN" dataDxfId="2"/>
    <tableColumn id="2" xr3:uid="{41D0AD11-A958-224F-A336-689C472DBC80}" name="Type"/>
    <tableColumn id="3" xr3:uid="{3BAEAE25-CE10-2B42-B714-24D32A45BB8D}" name="Scenario" dataDxfId="28"/>
    <tableColumn id="4" xr3:uid="{84A1DD91-19B4-814D-8C47-DD33291E322C}" name="User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C0681-7709-AB4D-BDDE-42A72C057A2D}" name="Table2" displayName="Table2" ref="A1:W63" totalsRowShown="0" headerRowDxfId="27" dataDxfId="26">
  <tableColumns count="23">
    <tableColumn id="22" xr3:uid="{E0F0B2C3-4ED9-CC42-B50D-F49021240890}" name="Question" dataDxfId="25"/>
    <tableColumn id="23" xr3:uid="{3850F913-77DA-3844-9CC5-2082CBF8F378}" name="Description" dataDxfId="24"/>
    <tableColumn id="4" xr3:uid="{51ABD908-CF4B-9243-979C-CD4DBD3E9353}" name="Type" dataDxfId="23"/>
    <tableColumn id="10" xr3:uid="{0B551F59-817D-DC43-84D7-AAF7E22E00D4}" name="ARP static" dataDxfId="22"/>
    <tableColumn id="11" xr3:uid="{DC1D60F8-4277-1D41-BD35-1606D82BB1A8}" name="ARP dynamic" dataDxfId="21"/>
    <tableColumn id="16" xr3:uid="{A4CA7FA9-3E65-5246-9CD5-5862CE73DB59}" name="CSRP static" dataDxfId="20"/>
    <tableColumn id="17" xr3:uid="{6A3ADD5C-9A43-4745-9FB6-1BC3067E45AA}" name="CSRP dynamic" dataDxfId="19"/>
    <tableColumn id="18" xr3:uid="{D5EA6900-E571-1F4B-A548-4AD451974DE7}" name="DC-SRP" dataDxfId="18"/>
    <tableColumn id="2" xr3:uid="{E79F8657-8B31-4C41-8208-38DBAD0441AA}" name="Missing" dataDxfId="17"/>
    <tableColumn id="13" xr3:uid="{4DAF20FC-296B-A64F-94B8-BE75CBC5F2DB}" name="A" dataDxfId="16"/>
    <tableColumn id="14" xr3:uid="{FE049268-B947-E241-8D5D-1D9413DD160A}" name="B" dataDxfId="15"/>
    <tableColumn id="15" xr3:uid="{CD3FE3A1-80D9-404C-81B8-026CAE5B1688}" name="C" dataDxfId="14"/>
    <tableColumn id="19" xr3:uid="{24E869DA-3BBF-6D41-A742-1FB2D9EEBC5D}" name="D" dataDxfId="13"/>
    <tableColumn id="20" xr3:uid="{06A1BF28-CA98-D149-BAA8-0298A042696B}" name="E" dataDxfId="12"/>
    <tableColumn id="21" xr3:uid="{A8253064-9F68-C643-A2A1-9CDDD0BA1108}" name="F" dataDxfId="11"/>
    <tableColumn id="24" xr3:uid="{02BEA690-CB36-BA45-9934-7696A37E40F1}" name="G" dataDxfId="10"/>
    <tableColumn id="3" xr3:uid="{736773D4-BB12-F749-A2E3-EB2276BD8F76}" name="A prov" dataDxfId="9"/>
    <tableColumn id="5" xr3:uid="{245C5926-254A-0648-A49E-B4AB9B1D3B0A}" name="B prov" dataDxfId="8"/>
    <tableColumn id="6" xr3:uid="{6B369F43-5FE5-8F4C-8050-E84D13639628}" name="C prov" dataDxfId="7"/>
    <tableColumn id="7" xr3:uid="{F89B2296-1452-2D45-90E9-9F4470860E08}" name="D prov" dataDxfId="6"/>
    <tableColumn id="8" xr3:uid="{367106C5-CD76-C74F-BFA4-D9159401B598}" name="E prov" dataDxfId="5"/>
    <tableColumn id="9" xr3:uid="{0AAE6E5F-3B25-5F48-B262-2A376EDA38E0}" name="F prov" dataDxfId="4"/>
    <tableColumn id="12" xr3:uid="{4475BADB-2081-BB47-A276-69112F7BE4F1}" name="G prov" dataDxfId="3"/>
  </tableColumns>
  <tableStyleInfo name="TableStyleMedium1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DE31-211F-448B-9252-7005A331BDDA}">
  <dimension ref="A1:G14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22.33203125" bestFit="1" customWidth="1"/>
  </cols>
  <sheetData>
    <row r="1" spans="1:7" x14ac:dyDescent="0.2">
      <c r="B1" t="s">
        <v>19</v>
      </c>
      <c r="C1" t="s">
        <v>20</v>
      </c>
    </row>
    <row r="2" spans="1:7" x14ac:dyDescent="0.2">
      <c r="A2" t="s">
        <v>21</v>
      </c>
      <c r="B2">
        <v>241294</v>
      </c>
      <c r="C2">
        <v>246730</v>
      </c>
      <c r="D2">
        <f>+B2-C2</f>
        <v>-5436</v>
      </c>
    </row>
    <row r="3" spans="1:7" x14ac:dyDescent="0.2">
      <c r="A3" t="s">
        <v>22</v>
      </c>
      <c r="B3">
        <v>532</v>
      </c>
      <c r="C3">
        <v>0</v>
      </c>
    </row>
    <row r="4" spans="1:7" x14ac:dyDescent="0.2">
      <c r="A4" t="s">
        <v>23</v>
      </c>
      <c r="B4" s="2">
        <f>+B2-B3</f>
        <v>240762</v>
      </c>
      <c r="C4" s="2">
        <f>+C2-C3</f>
        <v>246730</v>
      </c>
      <c r="D4">
        <f>+B4-C4</f>
        <v>-5968</v>
      </c>
    </row>
    <row r="5" spans="1:7" x14ac:dyDescent="0.2">
      <c r="A5" t="s">
        <v>24</v>
      </c>
      <c r="C5">
        <v>5968</v>
      </c>
    </row>
    <row r="6" spans="1:7" x14ac:dyDescent="0.2">
      <c r="A6" t="s">
        <v>23</v>
      </c>
      <c r="B6" s="2">
        <f t="shared" ref="B6:C6" si="0">+B4-B5</f>
        <v>240762</v>
      </c>
      <c r="C6" s="2">
        <f t="shared" si="0"/>
        <v>240762</v>
      </c>
      <c r="D6">
        <f>+B6-C6</f>
        <v>0</v>
      </c>
    </row>
    <row r="13" spans="1:7" x14ac:dyDescent="0.2">
      <c r="F13" t="s">
        <v>19</v>
      </c>
      <c r="G13" t="s">
        <v>20</v>
      </c>
    </row>
    <row r="14" spans="1:7" x14ac:dyDescent="0.2">
      <c r="G14">
        <v>246730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9F7D-00D2-40A6-994A-5800BB4A6323}">
  <dimension ref="A1:C50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49" bestFit="1" customWidth="1"/>
    <col min="2" max="2" width="49" customWidth="1"/>
    <col min="3" max="3" width="36.5" bestFit="1" customWidth="1"/>
  </cols>
  <sheetData>
    <row r="1" spans="1:3" x14ac:dyDescent="0.2">
      <c r="A1" s="2" t="s">
        <v>25</v>
      </c>
      <c r="B1" s="2" t="s">
        <v>26</v>
      </c>
      <c r="C1" s="2" t="s">
        <v>27</v>
      </c>
    </row>
    <row r="2" spans="1:3" x14ac:dyDescent="0.2">
      <c r="A2" s="1" t="s">
        <v>28</v>
      </c>
      <c r="B2" s="3" t="s">
        <v>29</v>
      </c>
      <c r="C2" s="3" t="s">
        <v>29</v>
      </c>
    </row>
    <row r="3" spans="1:3" x14ac:dyDescent="0.2">
      <c r="A3" s="1" t="s">
        <v>0</v>
      </c>
      <c r="B3" s="3" t="s">
        <v>0</v>
      </c>
      <c r="C3" s="3" t="s">
        <v>0</v>
      </c>
    </row>
    <row r="4" spans="1:3" x14ac:dyDescent="0.2">
      <c r="A4" s="1" t="s">
        <v>30</v>
      </c>
      <c r="B4" s="3" t="s">
        <v>1</v>
      </c>
      <c r="C4" s="3" t="s">
        <v>1</v>
      </c>
    </row>
    <row r="5" spans="1:3" x14ac:dyDescent="0.2">
      <c r="A5" s="1" t="s">
        <v>5</v>
      </c>
      <c r="B5" s="3" t="s">
        <v>5</v>
      </c>
      <c r="C5" s="3" t="s">
        <v>31</v>
      </c>
    </row>
    <row r="6" spans="1:3" x14ac:dyDescent="0.2">
      <c r="A6" s="1" t="s">
        <v>32</v>
      </c>
      <c r="B6" s="3" t="s">
        <v>33</v>
      </c>
      <c r="C6" s="3" t="s">
        <v>33</v>
      </c>
    </row>
    <row r="7" spans="1:3" x14ac:dyDescent="0.2">
      <c r="A7" s="1"/>
      <c r="B7" s="1" t="s">
        <v>34</v>
      </c>
      <c r="C7" s="1" t="s">
        <v>6</v>
      </c>
    </row>
    <row r="8" spans="1:3" x14ac:dyDescent="0.2">
      <c r="B8" s="1" t="s">
        <v>35</v>
      </c>
      <c r="C8" s="1" t="s">
        <v>7</v>
      </c>
    </row>
    <row r="9" spans="1:3" x14ac:dyDescent="0.2">
      <c r="A9" s="1"/>
      <c r="B9" s="1" t="s">
        <v>36</v>
      </c>
      <c r="C9" s="1" t="s">
        <v>4</v>
      </c>
    </row>
    <row r="10" spans="1:3" x14ac:dyDescent="0.2">
      <c r="C10" s="1" t="s">
        <v>8</v>
      </c>
    </row>
    <row r="11" spans="1:3" x14ac:dyDescent="0.2">
      <c r="C11" s="1" t="s">
        <v>9</v>
      </c>
    </row>
    <row r="12" spans="1:3" x14ac:dyDescent="0.2">
      <c r="C12" s="1" t="s">
        <v>10</v>
      </c>
    </row>
    <row r="13" spans="1:3" x14ac:dyDescent="0.2">
      <c r="B13" s="1"/>
      <c r="C13" s="1" t="s">
        <v>11</v>
      </c>
    </row>
    <row r="14" spans="1:3" x14ac:dyDescent="0.2">
      <c r="C14" s="1" t="s">
        <v>37</v>
      </c>
    </row>
    <row r="15" spans="1:3" x14ac:dyDescent="0.2">
      <c r="B15" s="1"/>
      <c r="C15" s="1" t="s">
        <v>38</v>
      </c>
    </row>
    <row r="16" spans="1:3" x14ac:dyDescent="0.2">
      <c r="C16" s="1" t="s">
        <v>39</v>
      </c>
    </row>
    <row r="17" spans="3:3" x14ac:dyDescent="0.2">
      <c r="C17" s="1" t="s">
        <v>40</v>
      </c>
    </row>
    <row r="18" spans="3:3" x14ac:dyDescent="0.2">
      <c r="C18" s="1" t="s">
        <v>41</v>
      </c>
    </row>
    <row r="19" spans="3:3" x14ac:dyDescent="0.2">
      <c r="C19" s="1" t="s">
        <v>42</v>
      </c>
    </row>
    <row r="20" spans="3:3" x14ac:dyDescent="0.2">
      <c r="C20" s="1" t="s">
        <v>43</v>
      </c>
    </row>
    <row r="21" spans="3:3" x14ac:dyDescent="0.2">
      <c r="C21" s="1" t="s">
        <v>44</v>
      </c>
    </row>
    <row r="22" spans="3:3" x14ac:dyDescent="0.2">
      <c r="C22" s="1" t="s">
        <v>45</v>
      </c>
    </row>
    <row r="23" spans="3:3" x14ac:dyDescent="0.2">
      <c r="C23" s="1" t="s">
        <v>46</v>
      </c>
    </row>
    <row r="24" spans="3:3" x14ac:dyDescent="0.2">
      <c r="C24" s="1" t="s">
        <v>47</v>
      </c>
    </row>
    <row r="25" spans="3:3" x14ac:dyDescent="0.2">
      <c r="C25" s="1" t="s">
        <v>48</v>
      </c>
    </row>
    <row r="26" spans="3:3" x14ac:dyDescent="0.2">
      <c r="C26" s="1" t="s">
        <v>49</v>
      </c>
    </row>
    <row r="27" spans="3:3" x14ac:dyDescent="0.2">
      <c r="C27" s="1" t="s">
        <v>50</v>
      </c>
    </row>
    <row r="28" spans="3:3" x14ac:dyDescent="0.2">
      <c r="C28" s="1" t="s">
        <v>51</v>
      </c>
    </row>
    <row r="29" spans="3:3" x14ac:dyDescent="0.2">
      <c r="C29" s="1" t="s">
        <v>52</v>
      </c>
    </row>
    <row r="30" spans="3:3" x14ac:dyDescent="0.2">
      <c r="C30" s="1" t="s">
        <v>12</v>
      </c>
    </row>
    <row r="31" spans="3:3" x14ac:dyDescent="0.2">
      <c r="C31" s="1" t="s">
        <v>13</v>
      </c>
    </row>
    <row r="32" spans="3:3" x14ac:dyDescent="0.2">
      <c r="C32" s="1" t="s">
        <v>14</v>
      </c>
    </row>
    <row r="33" spans="3:3" x14ac:dyDescent="0.2">
      <c r="C33" s="1" t="s">
        <v>16</v>
      </c>
    </row>
    <row r="38" spans="3:3" x14ac:dyDescent="0.2">
      <c r="C38" s="1"/>
    </row>
    <row r="40" spans="3:3" x14ac:dyDescent="0.2">
      <c r="C40" s="1"/>
    </row>
    <row r="42" spans="3:3" x14ac:dyDescent="0.2">
      <c r="C42" s="1"/>
    </row>
    <row r="44" spans="3:3" x14ac:dyDescent="0.2">
      <c r="C44" s="1"/>
    </row>
    <row r="46" spans="3:3" x14ac:dyDescent="0.2">
      <c r="C46" s="1"/>
    </row>
    <row r="48" spans="3:3" x14ac:dyDescent="0.2">
      <c r="C48" s="1"/>
    </row>
    <row r="50" spans="3:3" x14ac:dyDescent="0.2">
      <c r="C50" s="1"/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4358-5C7D-4052-9027-CACC26A9A188}">
  <dimension ref="A1:D46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5.1640625" bestFit="1" customWidth="1"/>
    <col min="2" max="2" width="17.5" bestFit="1" customWidth="1"/>
    <col min="3" max="3" width="39.33203125" bestFit="1" customWidth="1"/>
    <col min="4" max="4" width="35.33203125" bestFit="1" customWidth="1"/>
  </cols>
  <sheetData>
    <row r="1" spans="1:4" x14ac:dyDescent="0.2">
      <c r="A1" s="2" t="s">
        <v>54</v>
      </c>
      <c r="B1" s="2" t="s">
        <v>55</v>
      </c>
      <c r="C1" s="2" t="s">
        <v>56</v>
      </c>
      <c r="D1" s="2" t="s">
        <v>57</v>
      </c>
    </row>
    <row r="2" spans="1:4" x14ac:dyDescent="0.2">
      <c r="A2" t="s">
        <v>29</v>
      </c>
      <c r="B2" t="s">
        <v>29</v>
      </c>
      <c r="C2" t="s">
        <v>29</v>
      </c>
      <c r="D2" t="s">
        <v>29</v>
      </c>
    </row>
    <row r="3" spans="1:4" x14ac:dyDescent="0.2">
      <c r="A3" t="s">
        <v>2</v>
      </c>
      <c r="B3" t="s">
        <v>2</v>
      </c>
      <c r="C3" t="s">
        <v>2</v>
      </c>
      <c r="D3" t="s">
        <v>2</v>
      </c>
    </row>
    <row r="4" spans="1:4" x14ac:dyDescent="0.2">
      <c r="A4" t="s">
        <v>1</v>
      </c>
      <c r="B4" t="s">
        <v>1</v>
      </c>
      <c r="C4" t="s">
        <v>1</v>
      </c>
      <c r="D4" t="s">
        <v>1</v>
      </c>
    </row>
    <row r="5" spans="1:4" x14ac:dyDescent="0.2">
      <c r="A5" t="s">
        <v>4</v>
      </c>
      <c r="B5" t="s">
        <v>4</v>
      </c>
      <c r="C5" t="s">
        <v>4</v>
      </c>
      <c r="D5" t="s">
        <v>4</v>
      </c>
    </row>
    <row r="6" spans="1:4" x14ac:dyDescent="0.2">
      <c r="A6" t="s">
        <v>0</v>
      </c>
      <c r="B6" t="s">
        <v>0</v>
      </c>
      <c r="C6" t="s">
        <v>0</v>
      </c>
      <c r="D6" t="s">
        <v>0</v>
      </c>
    </row>
    <row r="7" spans="1:4" x14ac:dyDescent="0.2">
      <c r="B7" t="s">
        <v>3</v>
      </c>
      <c r="C7" t="s">
        <v>305</v>
      </c>
      <c r="D7" t="s">
        <v>59</v>
      </c>
    </row>
    <row r="8" spans="1:4" x14ac:dyDescent="0.2">
      <c r="B8" t="s">
        <v>7</v>
      </c>
      <c r="C8" t="s">
        <v>58</v>
      </c>
      <c r="D8" t="s">
        <v>59</v>
      </c>
    </row>
    <row r="9" spans="1:4" x14ac:dyDescent="0.2">
      <c r="B9" t="s">
        <v>6</v>
      </c>
      <c r="C9" t="s">
        <v>60</v>
      </c>
      <c r="D9" t="s">
        <v>8</v>
      </c>
    </row>
    <row r="10" spans="1:4" x14ac:dyDescent="0.2">
      <c r="B10" t="s">
        <v>5</v>
      </c>
      <c r="C10" t="s">
        <v>8</v>
      </c>
      <c r="D10" t="s">
        <v>59</v>
      </c>
    </row>
    <row r="11" spans="1:4" x14ac:dyDescent="0.2">
      <c r="C11" t="s">
        <v>61</v>
      </c>
      <c r="D11" t="s">
        <v>59</v>
      </c>
    </row>
    <row r="12" spans="1:4" x14ac:dyDescent="0.2">
      <c r="C12" t="s">
        <v>62</v>
      </c>
      <c r="D12" t="s">
        <v>9</v>
      </c>
    </row>
    <row r="13" spans="1:4" x14ac:dyDescent="0.2">
      <c r="C13" t="s">
        <v>9</v>
      </c>
      <c r="D13" t="s">
        <v>59</v>
      </c>
    </row>
    <row r="14" spans="1:4" x14ac:dyDescent="0.2">
      <c r="C14" t="s">
        <v>63</v>
      </c>
      <c r="D14" t="s">
        <v>59</v>
      </c>
    </row>
    <row r="15" spans="1:4" x14ac:dyDescent="0.2">
      <c r="C15" t="s">
        <v>64</v>
      </c>
      <c r="D15" t="s">
        <v>59</v>
      </c>
    </row>
    <row r="16" spans="1:4" x14ac:dyDescent="0.2">
      <c r="C16" t="s">
        <v>65</v>
      </c>
      <c r="D16" t="s">
        <v>12</v>
      </c>
    </row>
    <row r="17" spans="3:4" x14ac:dyDescent="0.2">
      <c r="C17" t="s">
        <v>12</v>
      </c>
      <c r="D17" t="s">
        <v>13</v>
      </c>
    </row>
    <row r="18" spans="3:4" x14ac:dyDescent="0.2">
      <c r="C18" t="s">
        <v>13</v>
      </c>
      <c r="D18" t="s">
        <v>59</v>
      </c>
    </row>
    <row r="19" spans="3:4" x14ac:dyDescent="0.2">
      <c r="C19" t="s">
        <v>66</v>
      </c>
      <c r="D19" t="s">
        <v>15</v>
      </c>
    </row>
    <row r="20" spans="3:4" x14ac:dyDescent="0.2">
      <c r="C20" t="s">
        <v>15</v>
      </c>
      <c r="D20" t="s">
        <v>16</v>
      </c>
    </row>
    <row r="21" spans="3:4" x14ac:dyDescent="0.2">
      <c r="C21" t="s">
        <v>16</v>
      </c>
      <c r="D21" t="s">
        <v>59</v>
      </c>
    </row>
    <row r="22" spans="3:4" x14ac:dyDescent="0.2">
      <c r="C22" t="s">
        <v>67</v>
      </c>
      <c r="D22" t="s">
        <v>59</v>
      </c>
    </row>
    <row r="23" spans="3:4" x14ac:dyDescent="0.2">
      <c r="C23" t="s">
        <v>68</v>
      </c>
      <c r="D23" t="s">
        <v>59</v>
      </c>
    </row>
    <row r="24" spans="3:4" x14ac:dyDescent="0.2">
      <c r="C24" t="s">
        <v>69</v>
      </c>
      <c r="D24" s="2" t="s">
        <v>70</v>
      </c>
    </row>
    <row r="25" spans="3:4" x14ac:dyDescent="0.2">
      <c r="D25" s="2" t="s">
        <v>11</v>
      </c>
    </row>
    <row r="26" spans="3:4" x14ac:dyDescent="0.2">
      <c r="D26" s="2" t="s">
        <v>71</v>
      </c>
    </row>
    <row r="27" spans="3:4" x14ac:dyDescent="0.2">
      <c r="D27" s="2" t="s">
        <v>38</v>
      </c>
    </row>
    <row r="28" spans="3:4" x14ac:dyDescent="0.2">
      <c r="D28" t="s">
        <v>41</v>
      </c>
    </row>
    <row r="29" spans="3:4" x14ac:dyDescent="0.2">
      <c r="D29" t="s">
        <v>72</v>
      </c>
    </row>
    <row r="30" spans="3:4" x14ac:dyDescent="0.2">
      <c r="D30" t="s">
        <v>73</v>
      </c>
    </row>
    <row r="31" spans="3:4" x14ac:dyDescent="0.2">
      <c r="D31" t="s">
        <v>44</v>
      </c>
    </row>
    <row r="32" spans="3:4" x14ac:dyDescent="0.2">
      <c r="D32" t="s">
        <v>45</v>
      </c>
    </row>
    <row r="33" spans="4:4" x14ac:dyDescent="0.2">
      <c r="D33" t="s">
        <v>47</v>
      </c>
    </row>
    <row r="34" spans="4:4" x14ac:dyDescent="0.2">
      <c r="D34" t="s">
        <v>48</v>
      </c>
    </row>
    <row r="35" spans="4:4" x14ac:dyDescent="0.2">
      <c r="D35" t="s">
        <v>49</v>
      </c>
    </row>
    <row r="36" spans="4:4" x14ac:dyDescent="0.2">
      <c r="D36" t="s">
        <v>50</v>
      </c>
    </row>
    <row r="37" spans="4:4" x14ac:dyDescent="0.2">
      <c r="D37" t="s">
        <v>51</v>
      </c>
    </row>
    <row r="38" spans="4:4" x14ac:dyDescent="0.2">
      <c r="D38" t="s">
        <v>74</v>
      </c>
    </row>
    <row r="39" spans="4:4" x14ac:dyDescent="0.2">
      <c r="D39" t="s">
        <v>75</v>
      </c>
    </row>
    <row r="40" spans="4:4" x14ac:dyDescent="0.2">
      <c r="D40" t="s">
        <v>46</v>
      </c>
    </row>
    <row r="41" spans="4:4" x14ac:dyDescent="0.2">
      <c r="D41" t="s">
        <v>76</v>
      </c>
    </row>
    <row r="42" spans="4:4" x14ac:dyDescent="0.2">
      <c r="D42" t="s">
        <v>14</v>
      </c>
    </row>
    <row r="43" spans="4:4" x14ac:dyDescent="0.2">
      <c r="D43" t="s">
        <v>3</v>
      </c>
    </row>
    <row r="44" spans="4:4" x14ac:dyDescent="0.2">
      <c r="D44" t="s">
        <v>7</v>
      </c>
    </row>
    <row r="45" spans="4:4" x14ac:dyDescent="0.2">
      <c r="D45" t="s">
        <v>6</v>
      </c>
    </row>
    <row r="46" spans="4:4" x14ac:dyDescent="0.2">
      <c r="D46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2FE2-D168-40CE-9E7D-579C7BEBB18B}">
  <dimension ref="A1:A9"/>
  <sheetViews>
    <sheetView workbookViewId="0">
      <selection sqref="A1:A9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77</v>
      </c>
    </row>
    <row r="3" spans="1:1" x14ac:dyDescent="0.2">
      <c r="A3" t="s">
        <v>78</v>
      </c>
    </row>
    <row r="4" spans="1:1" x14ac:dyDescent="0.2">
      <c r="A4" t="s">
        <v>79</v>
      </c>
    </row>
    <row r="5" spans="1:1" x14ac:dyDescent="0.2">
      <c r="A5" t="s">
        <v>7</v>
      </c>
    </row>
    <row r="6" spans="1:1" x14ac:dyDescent="0.2">
      <c r="A6" t="s">
        <v>4</v>
      </c>
    </row>
    <row r="7" spans="1:1" x14ac:dyDescent="0.2">
      <c r="A7" t="s">
        <v>80</v>
      </c>
    </row>
    <row r="8" spans="1:1" x14ac:dyDescent="0.2">
      <c r="A8" t="s">
        <v>1</v>
      </c>
    </row>
    <row r="9" spans="1:1" x14ac:dyDescent="0.2">
      <c r="A9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2E60-DD76-4603-B5BA-EF53A298BEC9}">
  <dimension ref="A1:A5"/>
  <sheetViews>
    <sheetView workbookViewId="0">
      <selection sqref="A1:A5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77</v>
      </c>
    </row>
    <row r="3" spans="1:1" x14ac:dyDescent="0.2">
      <c r="A3" t="s">
        <v>78</v>
      </c>
    </row>
    <row r="4" spans="1:1" x14ac:dyDescent="0.2">
      <c r="A4" t="s">
        <v>82</v>
      </c>
    </row>
    <row r="5" spans="1:1" x14ac:dyDescent="0.2">
      <c r="A5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F83D-7244-424F-B0B7-B777DC55FC7D}">
  <dimension ref="A1:H27"/>
  <sheetViews>
    <sheetView topLeftCell="A7" workbookViewId="0">
      <selection activeCell="H18" sqref="H18"/>
    </sheetView>
  </sheetViews>
  <sheetFormatPr baseColWidth="10" defaultColWidth="8.83203125" defaultRowHeight="15" x14ac:dyDescent="0.2"/>
  <cols>
    <col min="1" max="1" width="22.6640625" bestFit="1" customWidth="1"/>
    <col min="2" max="2" width="30.5" bestFit="1" customWidth="1"/>
    <col min="3" max="3" width="21.5" bestFit="1" customWidth="1"/>
  </cols>
  <sheetData>
    <row r="1" spans="1:8" x14ac:dyDescent="0.2">
      <c r="A1" t="s">
        <v>83</v>
      </c>
      <c r="B1" t="s">
        <v>84</v>
      </c>
    </row>
    <row r="2" spans="1:8" x14ac:dyDescent="0.2">
      <c r="A2" s="2" t="s">
        <v>0</v>
      </c>
      <c r="B2" t="s">
        <v>0</v>
      </c>
      <c r="C2" t="s">
        <v>85</v>
      </c>
    </row>
    <row r="3" spans="1:8" x14ac:dyDescent="0.2">
      <c r="A3" s="2" t="s">
        <v>77</v>
      </c>
      <c r="B3" t="s">
        <v>77</v>
      </c>
      <c r="C3">
        <v>0</v>
      </c>
    </row>
    <row r="4" spans="1:8" x14ac:dyDescent="0.2">
      <c r="A4" s="2" t="s">
        <v>78</v>
      </c>
      <c r="B4" t="s">
        <v>78</v>
      </c>
      <c r="C4">
        <v>0</v>
      </c>
    </row>
    <row r="5" spans="1:8" x14ac:dyDescent="0.2">
      <c r="A5" s="2" t="s">
        <v>79</v>
      </c>
      <c r="B5" t="s">
        <v>79</v>
      </c>
      <c r="C5">
        <v>0</v>
      </c>
    </row>
    <row r="6" spans="1:8" x14ac:dyDescent="0.2">
      <c r="A6" t="s">
        <v>82</v>
      </c>
      <c r="B6" t="s">
        <v>7</v>
      </c>
    </row>
    <row r="7" spans="1:8" x14ac:dyDescent="0.2">
      <c r="B7" t="s">
        <v>4</v>
      </c>
    </row>
    <row r="8" spans="1:8" x14ac:dyDescent="0.2">
      <c r="B8" t="s">
        <v>80</v>
      </c>
    </row>
    <row r="9" spans="1:8" x14ac:dyDescent="0.2">
      <c r="B9" t="s">
        <v>1</v>
      </c>
    </row>
    <row r="10" spans="1:8" x14ac:dyDescent="0.2">
      <c r="B10" t="s">
        <v>81</v>
      </c>
    </row>
    <row r="14" spans="1:8" x14ac:dyDescent="0.2">
      <c r="E14" t="s">
        <v>86</v>
      </c>
      <c r="F14" t="s">
        <v>87</v>
      </c>
    </row>
    <row r="15" spans="1:8" x14ac:dyDescent="0.2">
      <c r="C15" t="s">
        <v>88</v>
      </c>
      <c r="D15">
        <v>2.81E-3</v>
      </c>
      <c r="E15">
        <f>+D15*100</f>
        <v>0.28100000000000003</v>
      </c>
      <c r="F15">
        <v>5</v>
      </c>
      <c r="G15">
        <v>0.04</v>
      </c>
      <c r="H15" t="s">
        <v>53</v>
      </c>
    </row>
    <row r="16" spans="1:8" x14ac:dyDescent="0.2">
      <c r="C16" t="s">
        <v>89</v>
      </c>
      <c r="D16">
        <f>+D15</f>
        <v>2.81E-3</v>
      </c>
      <c r="E16">
        <f>+D16*100</f>
        <v>0.28100000000000003</v>
      </c>
      <c r="F16">
        <v>10</v>
      </c>
    </row>
    <row r="17" spans="3:8" x14ac:dyDescent="0.2">
      <c r="C17" t="s">
        <v>90</v>
      </c>
      <c r="D17">
        <f>+D16</f>
        <v>2.81E-3</v>
      </c>
      <c r="E17">
        <f>+D17*100</f>
        <v>0.28100000000000003</v>
      </c>
      <c r="F17">
        <v>15</v>
      </c>
    </row>
    <row r="18" spans="3:8" x14ac:dyDescent="0.2">
      <c r="C18" t="s">
        <v>91</v>
      </c>
      <c r="D18">
        <v>6.3400000000000001E-3</v>
      </c>
      <c r="E18">
        <f t="shared" ref="E18:E22" si="0">+D18*100</f>
        <v>0.63400000000000001</v>
      </c>
      <c r="F18">
        <v>3</v>
      </c>
      <c r="G18">
        <v>0.03</v>
      </c>
      <c r="H18" t="s">
        <v>53</v>
      </c>
    </row>
    <row r="19" spans="3:8" x14ac:dyDescent="0.2">
      <c r="C19" t="s">
        <v>92</v>
      </c>
      <c r="D19">
        <v>9.2599999999999991E-3</v>
      </c>
      <c r="E19">
        <f t="shared" si="0"/>
        <v>0.92599999999999993</v>
      </c>
      <c r="F19">
        <v>6</v>
      </c>
    </row>
    <row r="20" spans="3:8" x14ac:dyDescent="0.2">
      <c r="C20" t="s">
        <v>93</v>
      </c>
      <c r="D20">
        <f>+D19</f>
        <v>9.2599999999999991E-3</v>
      </c>
      <c r="E20">
        <f t="shared" si="0"/>
        <v>0.92599999999999993</v>
      </c>
      <c r="F20">
        <v>9</v>
      </c>
    </row>
    <row r="21" spans="3:8" x14ac:dyDescent="0.2">
      <c r="C21" t="s">
        <v>94</v>
      </c>
      <c r="D21">
        <v>3.3279999999999997E-2</v>
      </c>
      <c r="E21">
        <f t="shared" si="0"/>
        <v>3.3279999999999998</v>
      </c>
      <c r="F21">
        <v>0</v>
      </c>
    </row>
    <row r="22" spans="3:8" x14ac:dyDescent="0.2">
      <c r="C22" t="s">
        <v>95</v>
      </c>
      <c r="D22">
        <v>0.1031</v>
      </c>
      <c r="E22">
        <f t="shared" si="0"/>
        <v>10.31</v>
      </c>
      <c r="F22">
        <v>0</v>
      </c>
    </row>
    <row r="23" spans="3:8" x14ac:dyDescent="0.2">
      <c r="C23" t="s">
        <v>96</v>
      </c>
    </row>
    <row r="27" spans="3:8" x14ac:dyDescent="0.2">
      <c r="C27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DE4A-C128-6440-A468-AE858B801CD8}">
  <dimension ref="A1:F16"/>
  <sheetViews>
    <sheetView tabSelected="1" workbookViewId="0">
      <selection activeCell="A2" sqref="A2"/>
    </sheetView>
  </sheetViews>
  <sheetFormatPr baseColWidth="10" defaultRowHeight="15" x14ac:dyDescent="0.2"/>
  <cols>
    <col min="4" max="4" width="20.83203125" customWidth="1"/>
    <col min="6" max="6" width="47.83203125" customWidth="1"/>
  </cols>
  <sheetData>
    <row r="1" spans="1:6" x14ac:dyDescent="0.2">
      <c r="A1" t="s">
        <v>334</v>
      </c>
      <c r="B1" t="s">
        <v>336</v>
      </c>
      <c r="C1" t="s">
        <v>371</v>
      </c>
      <c r="D1" t="s">
        <v>365</v>
      </c>
      <c r="F1" t="s">
        <v>391</v>
      </c>
    </row>
    <row r="2" spans="1:6" x14ac:dyDescent="0.2">
      <c r="A2" s="26" t="s">
        <v>344</v>
      </c>
      <c r="B2" t="s">
        <v>392</v>
      </c>
      <c r="C2" t="s">
        <v>363</v>
      </c>
      <c r="D2" t="s">
        <v>366</v>
      </c>
      <c r="F2" t="s">
        <v>397</v>
      </c>
    </row>
    <row r="3" spans="1:6" x14ac:dyDescent="0.2">
      <c r="A3" s="26" t="s">
        <v>350</v>
      </c>
      <c r="B3" t="s">
        <v>392</v>
      </c>
      <c r="C3" t="s">
        <v>379</v>
      </c>
      <c r="D3" t="s">
        <v>366</v>
      </c>
    </row>
    <row r="4" spans="1:6" x14ac:dyDescent="0.2">
      <c r="A4" s="26" t="s">
        <v>351</v>
      </c>
      <c r="B4" t="s">
        <v>392</v>
      </c>
      <c r="C4" t="s">
        <v>380</v>
      </c>
      <c r="D4" t="s">
        <v>366</v>
      </c>
    </row>
    <row r="5" spans="1:6" x14ac:dyDescent="0.2">
      <c r="A5" s="26" t="s">
        <v>352</v>
      </c>
      <c r="B5" t="s">
        <v>392</v>
      </c>
      <c r="C5" t="s">
        <v>381</v>
      </c>
      <c r="D5" t="s">
        <v>366</v>
      </c>
    </row>
    <row r="6" spans="1:6" x14ac:dyDescent="0.2">
      <c r="A6" s="26" t="s">
        <v>353</v>
      </c>
      <c r="B6" t="s">
        <v>392</v>
      </c>
      <c r="C6" t="s">
        <v>382</v>
      </c>
      <c r="D6" t="s">
        <v>366</v>
      </c>
    </row>
    <row r="7" spans="1:6" x14ac:dyDescent="0.2">
      <c r="A7" s="26" t="s">
        <v>354</v>
      </c>
      <c r="B7" t="s">
        <v>392</v>
      </c>
      <c r="C7" t="s">
        <v>383</v>
      </c>
      <c r="D7" t="s">
        <v>366</v>
      </c>
    </row>
    <row r="8" spans="1:6" x14ac:dyDescent="0.2">
      <c r="A8" s="26" t="s">
        <v>355</v>
      </c>
      <c r="B8" t="s">
        <v>392</v>
      </c>
      <c r="C8" t="s">
        <v>384</v>
      </c>
      <c r="D8" t="s">
        <v>366</v>
      </c>
    </row>
    <row r="9" spans="1:6" x14ac:dyDescent="0.2">
      <c r="A9" s="26" t="s">
        <v>356</v>
      </c>
      <c r="B9" t="s">
        <v>392</v>
      </c>
      <c r="C9" t="s">
        <v>385</v>
      </c>
      <c r="D9" t="s">
        <v>366</v>
      </c>
    </row>
    <row r="10" spans="1:6" x14ac:dyDescent="0.2">
      <c r="A10" s="26" t="s">
        <v>357</v>
      </c>
      <c r="B10" t="s">
        <v>392</v>
      </c>
      <c r="C10" t="s">
        <v>372</v>
      </c>
      <c r="D10" t="s">
        <v>366</v>
      </c>
    </row>
    <row r="11" spans="1:6" x14ac:dyDescent="0.2">
      <c r="A11" s="26" t="s">
        <v>358</v>
      </c>
      <c r="B11" t="s">
        <v>392</v>
      </c>
      <c r="C11" t="s">
        <v>373</v>
      </c>
      <c r="D11" t="s">
        <v>366</v>
      </c>
    </row>
    <row r="12" spans="1:6" x14ac:dyDescent="0.2">
      <c r="A12" s="26" t="s">
        <v>359</v>
      </c>
      <c r="B12" t="s">
        <v>392</v>
      </c>
      <c r="C12" t="s">
        <v>374</v>
      </c>
      <c r="D12" t="s">
        <v>366</v>
      </c>
    </row>
    <row r="13" spans="1:6" x14ac:dyDescent="0.2">
      <c r="A13" s="26" t="s">
        <v>360</v>
      </c>
      <c r="B13" t="s">
        <v>392</v>
      </c>
      <c r="C13" t="s">
        <v>375</v>
      </c>
      <c r="D13" t="s">
        <v>366</v>
      </c>
    </row>
    <row r="14" spans="1:6" x14ac:dyDescent="0.2">
      <c r="A14" s="26" t="s">
        <v>361</v>
      </c>
      <c r="B14" t="s">
        <v>392</v>
      </c>
      <c r="C14" t="s">
        <v>376</v>
      </c>
      <c r="D14" t="s">
        <v>366</v>
      </c>
    </row>
    <row r="15" spans="1:6" x14ac:dyDescent="0.2">
      <c r="A15" s="26" t="s">
        <v>362</v>
      </c>
      <c r="B15" t="s">
        <v>392</v>
      </c>
      <c r="C15" t="s">
        <v>377</v>
      </c>
      <c r="D15" t="s">
        <v>366</v>
      </c>
    </row>
    <row r="16" spans="1:6" x14ac:dyDescent="0.2">
      <c r="A16" s="26" t="s">
        <v>345</v>
      </c>
      <c r="B16" t="s">
        <v>392</v>
      </c>
      <c r="C16" t="s">
        <v>378</v>
      </c>
      <c r="D16" t="s">
        <v>366</v>
      </c>
    </row>
  </sheetData>
  <phoneticPr fontId="2" type="noConversion"/>
  <dataValidations count="1">
    <dataValidation type="list" allowBlank="1" showInputMessage="1" showErrorMessage="1" sqref="B2:B16" xr:uid="{FDB3D53E-93AB-B147-B475-B1A9B561EA1C}">
      <formula1>assessmentTypes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7B22-9F0D-7944-B6BB-714CBDF3131A}">
  <dimension ref="A1:AA67"/>
  <sheetViews>
    <sheetView showGridLines="0" zoomScale="108" zoomScaleNormal="108" workbookViewId="0">
      <pane ySplit="1" topLeftCell="A2" activePane="bottomLeft" state="frozen"/>
      <selection pane="bottomLeft" activeCell="O10" sqref="O10"/>
    </sheetView>
  </sheetViews>
  <sheetFormatPr baseColWidth="10" defaultColWidth="10.83203125" defaultRowHeight="15" x14ac:dyDescent="0.2"/>
  <cols>
    <col min="1" max="1" width="9" style="11" customWidth="1"/>
    <col min="2" max="2" width="59.5" style="11" customWidth="1"/>
    <col min="3" max="3" width="10.83203125" style="11" customWidth="1"/>
    <col min="4" max="4" width="9.6640625" style="11" customWidth="1"/>
    <col min="5" max="8" width="9.6640625" style="12" customWidth="1"/>
    <col min="9" max="20" width="14" style="12" customWidth="1"/>
    <col min="28" max="16384" width="10.83203125" style="12"/>
  </cols>
  <sheetData>
    <row r="1" spans="1:27" s="8" customFormat="1" ht="32" x14ac:dyDescent="0.2">
      <c r="A1" s="6" t="s">
        <v>335</v>
      </c>
      <c r="B1" s="19" t="s">
        <v>228</v>
      </c>
      <c r="C1" s="6" t="s">
        <v>336</v>
      </c>
      <c r="D1" s="7" t="s">
        <v>98</v>
      </c>
      <c r="E1" s="7" t="s">
        <v>99</v>
      </c>
      <c r="F1" s="7" t="s">
        <v>100</v>
      </c>
      <c r="G1" s="7" t="s">
        <v>101</v>
      </c>
      <c r="H1" s="7" t="s">
        <v>323</v>
      </c>
      <c r="I1" s="7" t="s">
        <v>363</v>
      </c>
      <c r="J1" s="7" t="s">
        <v>379</v>
      </c>
      <c r="K1" s="7" t="s">
        <v>380</v>
      </c>
      <c r="L1" s="7" t="s">
        <v>381</v>
      </c>
      <c r="M1" s="7" t="s">
        <v>382</v>
      </c>
      <c r="N1" s="7" t="s">
        <v>383</v>
      </c>
      <c r="O1" s="7" t="s">
        <v>384</v>
      </c>
      <c r="P1" s="7" t="s">
        <v>385</v>
      </c>
      <c r="Q1" s="7" t="s">
        <v>372</v>
      </c>
      <c r="R1" s="7" t="s">
        <v>373</v>
      </c>
      <c r="S1" s="7" t="s">
        <v>374</v>
      </c>
      <c r="T1" s="7" t="s">
        <v>375</v>
      </c>
      <c r="U1" s="7" t="s">
        <v>376</v>
      </c>
      <c r="V1" s="7" t="s">
        <v>377</v>
      </c>
      <c r="W1" s="7" t="s">
        <v>378</v>
      </c>
    </row>
    <row r="2" spans="1:27" s="22" customFormat="1" ht="16" x14ac:dyDescent="0.2">
      <c r="A2" s="9" t="s">
        <v>33</v>
      </c>
      <c r="B2" s="10" t="s">
        <v>367</v>
      </c>
      <c r="C2" s="23" t="s">
        <v>337</v>
      </c>
      <c r="D2" s="11" t="s">
        <v>103</v>
      </c>
      <c r="E2" s="11" t="s">
        <v>103</v>
      </c>
      <c r="F2" s="11" t="s">
        <v>103</v>
      </c>
      <c r="G2" s="11" t="s">
        <v>103</v>
      </c>
      <c r="H2" s="21"/>
      <c r="I2" s="20" t="s">
        <v>369</v>
      </c>
      <c r="J2" s="20" t="s">
        <v>386</v>
      </c>
      <c r="K2" s="20" t="s">
        <v>369</v>
      </c>
      <c r="L2" s="20" t="s">
        <v>388</v>
      </c>
      <c r="M2" s="20" t="s">
        <v>388</v>
      </c>
      <c r="N2" s="20" t="s">
        <v>369</v>
      </c>
      <c r="O2" s="20" t="s">
        <v>369</v>
      </c>
      <c r="P2" s="20" t="s">
        <v>388</v>
      </c>
      <c r="Q2" s="20" t="s">
        <v>386</v>
      </c>
      <c r="R2" s="20" t="s">
        <v>369</v>
      </c>
      <c r="S2" s="20" t="s">
        <v>369</v>
      </c>
      <c r="T2" s="20" t="s">
        <v>369</v>
      </c>
      <c r="U2" s="20" t="s">
        <v>369</v>
      </c>
      <c r="V2" s="20" t="s">
        <v>369</v>
      </c>
      <c r="W2" s="20" t="s">
        <v>388</v>
      </c>
    </row>
    <row r="3" spans="1:27" s="22" customFormat="1" ht="16" x14ac:dyDescent="0.2">
      <c r="A3" s="9" t="s">
        <v>364</v>
      </c>
      <c r="B3" s="10" t="s">
        <v>368</v>
      </c>
      <c r="C3" s="23" t="s">
        <v>337</v>
      </c>
      <c r="D3" s="11" t="s">
        <v>103</v>
      </c>
      <c r="E3" s="11" t="s">
        <v>103</v>
      </c>
      <c r="F3" s="11" t="s">
        <v>103</v>
      </c>
      <c r="G3" s="11" t="s">
        <v>103</v>
      </c>
      <c r="H3" s="21"/>
      <c r="I3" s="20" t="s">
        <v>370</v>
      </c>
      <c r="J3" s="20" t="s">
        <v>370</v>
      </c>
      <c r="K3" s="20" t="s">
        <v>370</v>
      </c>
      <c r="L3" s="20" t="s">
        <v>389</v>
      </c>
      <c r="M3" s="20" t="s">
        <v>389</v>
      </c>
      <c r="N3" s="20" t="s">
        <v>370</v>
      </c>
      <c r="O3" s="20" t="s">
        <v>370</v>
      </c>
      <c r="P3" s="20" t="s">
        <v>389</v>
      </c>
      <c r="Q3" s="20" t="s">
        <v>370</v>
      </c>
      <c r="R3" s="20" t="s">
        <v>370</v>
      </c>
      <c r="S3" s="20" t="s">
        <v>370</v>
      </c>
      <c r="T3" s="20" t="s">
        <v>370</v>
      </c>
      <c r="U3" s="20" t="s">
        <v>370</v>
      </c>
      <c r="V3" s="20" t="s">
        <v>370</v>
      </c>
      <c r="W3" s="20" t="s">
        <v>389</v>
      </c>
    </row>
    <row r="4" spans="1:27" ht="16" x14ac:dyDescent="0.2">
      <c r="A4" s="9" t="s">
        <v>234</v>
      </c>
      <c r="B4" s="10" t="s">
        <v>398</v>
      </c>
      <c r="C4" s="23" t="s">
        <v>390</v>
      </c>
      <c r="D4" s="11" t="s">
        <v>103</v>
      </c>
      <c r="E4" s="11" t="s">
        <v>103</v>
      </c>
      <c r="F4" s="11" t="s">
        <v>103</v>
      </c>
      <c r="G4" s="11" t="s">
        <v>103</v>
      </c>
      <c r="H4" s="17" t="s">
        <v>102</v>
      </c>
      <c r="I4" s="11">
        <v>-60</v>
      </c>
      <c r="J4" s="11">
        <v>-60</v>
      </c>
      <c r="K4" s="11">
        <v>-60</v>
      </c>
      <c r="L4" s="11">
        <v>-120</v>
      </c>
      <c r="M4" s="11">
        <v>-60</v>
      </c>
      <c r="N4" s="11">
        <v>-60</v>
      </c>
      <c r="O4" s="11">
        <v>-60</v>
      </c>
      <c r="P4" s="11">
        <v>-60</v>
      </c>
      <c r="Q4" s="11">
        <v>-60</v>
      </c>
      <c r="R4" s="11">
        <v>-60</v>
      </c>
      <c r="S4" s="11">
        <v>-60</v>
      </c>
      <c r="T4" s="11">
        <v>-60</v>
      </c>
      <c r="U4" s="11">
        <v>-60</v>
      </c>
      <c r="V4" s="11">
        <v>-60</v>
      </c>
      <c r="W4" s="11">
        <v>-60</v>
      </c>
      <c r="X4" s="12"/>
      <c r="Y4" s="12"/>
      <c r="Z4" s="12"/>
      <c r="AA4" s="12"/>
    </row>
    <row r="5" spans="1:27" ht="16" x14ac:dyDescent="0.2">
      <c r="A5" s="9">
        <v>1.32</v>
      </c>
      <c r="B5" s="10" t="s">
        <v>240</v>
      </c>
      <c r="C5" s="23" t="s">
        <v>338</v>
      </c>
      <c r="D5" s="11" t="s">
        <v>103</v>
      </c>
      <c r="E5" s="11" t="s">
        <v>103</v>
      </c>
      <c r="F5" s="11" t="s">
        <v>103</v>
      </c>
      <c r="G5" s="11" t="s">
        <v>103</v>
      </c>
      <c r="H5" s="17" t="s">
        <v>103</v>
      </c>
      <c r="I5" s="11"/>
      <c r="J5" s="11">
        <v>40</v>
      </c>
      <c r="K5" s="11">
        <v>16</v>
      </c>
      <c r="L5" s="11">
        <v>5</v>
      </c>
      <c r="M5" s="11">
        <v>15</v>
      </c>
      <c r="N5" s="11">
        <v>4</v>
      </c>
      <c r="O5" s="11">
        <v>1</v>
      </c>
      <c r="P5" s="11">
        <v>1</v>
      </c>
      <c r="Q5" s="11">
        <v>20</v>
      </c>
      <c r="R5" s="11">
        <v>10</v>
      </c>
      <c r="S5" s="11">
        <v>5</v>
      </c>
      <c r="T5" s="11">
        <v>5</v>
      </c>
      <c r="U5" s="11">
        <v>4</v>
      </c>
      <c r="V5" s="11">
        <v>1</v>
      </c>
      <c r="W5" s="11">
        <v>1</v>
      </c>
      <c r="X5" s="12"/>
      <c r="Y5" s="12"/>
      <c r="Z5" s="12"/>
      <c r="AA5" s="12"/>
    </row>
    <row r="6" spans="1:27" s="13" customFormat="1" ht="16" x14ac:dyDescent="0.2">
      <c r="A6" s="9" t="s">
        <v>213</v>
      </c>
      <c r="B6" s="10" t="s">
        <v>241</v>
      </c>
      <c r="C6" s="23" t="s">
        <v>338</v>
      </c>
      <c r="D6" s="11" t="s">
        <v>102</v>
      </c>
      <c r="E6" s="11" t="s">
        <v>102</v>
      </c>
      <c r="F6" s="11" t="s">
        <v>103</v>
      </c>
      <c r="G6" s="11" t="s">
        <v>103</v>
      </c>
      <c r="H6" s="17" t="s">
        <v>102</v>
      </c>
      <c r="I6" s="11">
        <v>0</v>
      </c>
      <c r="J6" s="11">
        <v>10</v>
      </c>
      <c r="K6" s="11">
        <v>8</v>
      </c>
      <c r="L6" s="11">
        <v>2</v>
      </c>
      <c r="M6" s="11">
        <v>0</v>
      </c>
      <c r="N6" s="11">
        <v>2</v>
      </c>
      <c r="O6" s="11">
        <v>0</v>
      </c>
      <c r="P6" s="11">
        <v>0</v>
      </c>
      <c r="Q6" s="11">
        <v>10</v>
      </c>
      <c r="R6" s="11">
        <v>6</v>
      </c>
      <c r="S6" s="11">
        <v>2</v>
      </c>
      <c r="T6" s="11">
        <v>1</v>
      </c>
      <c r="U6" s="11">
        <v>2</v>
      </c>
      <c r="V6" s="11">
        <v>0</v>
      </c>
      <c r="W6" s="11">
        <v>0</v>
      </c>
    </row>
    <row r="7" spans="1:27" ht="16" x14ac:dyDescent="0.2">
      <c r="A7" s="14" t="s">
        <v>214</v>
      </c>
      <c r="B7" s="15" t="s">
        <v>242</v>
      </c>
      <c r="C7" s="24" t="s">
        <v>390</v>
      </c>
      <c r="D7" s="14" t="s">
        <v>103</v>
      </c>
      <c r="E7" s="14" t="s">
        <v>103</v>
      </c>
      <c r="F7" s="14" t="s">
        <v>103</v>
      </c>
      <c r="G7" s="14" t="s">
        <v>103</v>
      </c>
      <c r="H7" s="18"/>
      <c r="I7" s="11">
        <v>-1</v>
      </c>
      <c r="J7" s="11">
        <v>-1</v>
      </c>
      <c r="K7" s="11">
        <v>-1</v>
      </c>
      <c r="L7" s="11">
        <v>-1</v>
      </c>
      <c r="M7" s="11">
        <v>-1</v>
      </c>
      <c r="N7" s="11">
        <v>-1</v>
      </c>
      <c r="O7" s="11">
        <v>-1</v>
      </c>
      <c r="P7" s="11">
        <v>-1</v>
      </c>
      <c r="Q7" s="11">
        <v>-1</v>
      </c>
      <c r="R7" s="11">
        <v>-1</v>
      </c>
      <c r="S7" s="11">
        <v>-1</v>
      </c>
      <c r="T7" s="11">
        <v>-1</v>
      </c>
      <c r="U7" s="11">
        <v>-1</v>
      </c>
      <c r="V7" s="11">
        <v>-1</v>
      </c>
      <c r="W7" s="11">
        <v>-1</v>
      </c>
      <c r="X7" s="12"/>
      <c r="Y7" s="12"/>
      <c r="Z7" s="12"/>
      <c r="AA7" s="12"/>
    </row>
    <row r="8" spans="1:27" ht="16" x14ac:dyDescent="0.2">
      <c r="A8" s="9" t="s">
        <v>238</v>
      </c>
      <c r="B8" s="10" t="s">
        <v>243</v>
      </c>
      <c r="C8" s="23" t="s">
        <v>339</v>
      </c>
      <c r="D8" s="11" t="s">
        <v>102</v>
      </c>
      <c r="E8" s="11" t="s">
        <v>102</v>
      </c>
      <c r="F8" s="11" t="s">
        <v>103</v>
      </c>
      <c r="G8" s="11" t="s">
        <v>103</v>
      </c>
      <c r="H8" s="17" t="s">
        <v>103</v>
      </c>
      <c r="I8" s="11" t="s">
        <v>320</v>
      </c>
      <c r="J8" s="11" t="s">
        <v>341</v>
      </c>
      <c r="K8" s="11" t="s">
        <v>341</v>
      </c>
      <c r="L8" s="11" t="s">
        <v>341</v>
      </c>
      <c r="M8" s="11" t="s">
        <v>320</v>
      </c>
      <c r="N8" s="11" t="s">
        <v>320</v>
      </c>
      <c r="O8" s="11" t="s">
        <v>320</v>
      </c>
      <c r="P8" s="11" t="s">
        <v>320</v>
      </c>
      <c r="Q8" s="11" t="s">
        <v>341</v>
      </c>
      <c r="R8" s="11" t="s">
        <v>341</v>
      </c>
      <c r="S8" s="11" t="s">
        <v>341</v>
      </c>
      <c r="T8" s="11" t="s">
        <v>320</v>
      </c>
      <c r="U8" s="11" t="s">
        <v>320</v>
      </c>
      <c r="V8" s="11" t="s">
        <v>320</v>
      </c>
      <c r="W8" s="11" t="s">
        <v>320</v>
      </c>
      <c r="X8" s="12"/>
      <c r="Y8" s="12"/>
      <c r="Z8" s="12"/>
      <c r="AA8" s="12"/>
    </row>
    <row r="9" spans="1:27" ht="16" x14ac:dyDescent="0.2">
      <c r="A9" s="9" t="s">
        <v>236</v>
      </c>
      <c r="B9" s="10" t="s">
        <v>244</v>
      </c>
      <c r="C9" s="23" t="s">
        <v>339</v>
      </c>
      <c r="D9" s="11" t="s">
        <v>102</v>
      </c>
      <c r="E9" s="11" t="s">
        <v>102</v>
      </c>
      <c r="F9" s="11" t="s">
        <v>103</v>
      </c>
      <c r="G9" s="11" t="s">
        <v>103</v>
      </c>
      <c r="H9" s="17" t="s">
        <v>103</v>
      </c>
      <c r="I9" s="11"/>
      <c r="J9" s="11" t="s">
        <v>320</v>
      </c>
      <c r="K9" s="11" t="s">
        <v>320</v>
      </c>
      <c r="L9" s="11" t="s">
        <v>320</v>
      </c>
      <c r="M9" s="11"/>
      <c r="N9" s="11"/>
      <c r="O9" s="11"/>
      <c r="P9" s="11"/>
      <c r="Q9" s="11" t="s">
        <v>320</v>
      </c>
      <c r="R9" s="11" t="s">
        <v>320</v>
      </c>
      <c r="S9" s="11" t="s">
        <v>320</v>
      </c>
      <c r="T9" s="11"/>
      <c r="U9" s="11"/>
      <c r="V9" s="11"/>
      <c r="W9" s="11"/>
      <c r="X9" s="12"/>
      <c r="Y9" s="12"/>
      <c r="Z9" s="12"/>
      <c r="AA9" s="12"/>
    </row>
    <row r="10" spans="1:27" s="13" customFormat="1" ht="32" x14ac:dyDescent="0.2">
      <c r="A10" s="9" t="s">
        <v>233</v>
      </c>
      <c r="B10" s="10" t="s">
        <v>245</v>
      </c>
      <c r="C10" s="23" t="s">
        <v>339</v>
      </c>
      <c r="D10" s="11" t="s">
        <v>102</v>
      </c>
      <c r="E10" s="11" t="s">
        <v>102</v>
      </c>
      <c r="F10" s="11" t="s">
        <v>103</v>
      </c>
      <c r="G10" s="11" t="s">
        <v>103</v>
      </c>
      <c r="H10" s="17" t="s">
        <v>103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7" ht="16" x14ac:dyDescent="0.2">
      <c r="A11" s="14" t="s">
        <v>235</v>
      </c>
      <c r="B11" s="15" t="s">
        <v>246</v>
      </c>
      <c r="C11" s="24" t="s">
        <v>390</v>
      </c>
      <c r="D11" s="14" t="s">
        <v>102</v>
      </c>
      <c r="E11" s="14" t="s">
        <v>102</v>
      </c>
      <c r="F11" s="14" t="s">
        <v>103</v>
      </c>
      <c r="G11" s="14" t="s">
        <v>103</v>
      </c>
      <c r="H11" s="18" t="s">
        <v>103</v>
      </c>
      <c r="I11" s="11"/>
      <c r="J11" s="11">
        <v>-1</v>
      </c>
      <c r="K11" s="11">
        <v>-1</v>
      </c>
      <c r="L11" s="11">
        <v>-1</v>
      </c>
      <c r="M11" s="11"/>
      <c r="N11" s="11"/>
      <c r="O11" s="11"/>
      <c r="P11" s="11"/>
      <c r="Q11" s="11">
        <v>-1</v>
      </c>
      <c r="R11" s="11">
        <v>-1</v>
      </c>
      <c r="S11" s="11">
        <v>-1</v>
      </c>
      <c r="T11" s="11"/>
      <c r="U11" s="11"/>
      <c r="V11" s="11"/>
      <c r="W11" s="11"/>
      <c r="X11" s="12"/>
      <c r="Y11" s="12"/>
      <c r="Z11" s="12"/>
      <c r="AA11" s="12"/>
    </row>
    <row r="12" spans="1:27" ht="32" x14ac:dyDescent="0.2">
      <c r="A12" s="9" t="s">
        <v>229</v>
      </c>
      <c r="B12" s="10" t="s">
        <v>247</v>
      </c>
      <c r="C12" s="23" t="s">
        <v>338</v>
      </c>
      <c r="D12" s="11" t="s">
        <v>102</v>
      </c>
      <c r="E12" s="11" t="s">
        <v>102</v>
      </c>
      <c r="F12" s="11" t="s">
        <v>103</v>
      </c>
      <c r="G12" s="11" t="s">
        <v>103</v>
      </c>
      <c r="H12" s="17" t="s">
        <v>103</v>
      </c>
      <c r="I12" s="11"/>
      <c r="J12" s="11">
        <v>4</v>
      </c>
      <c r="K12" s="11">
        <v>3</v>
      </c>
      <c r="L12" s="11">
        <v>1</v>
      </c>
      <c r="M12" s="11"/>
      <c r="N12" s="11"/>
      <c r="O12" s="11"/>
      <c r="P12" s="11"/>
      <c r="Q12" s="11">
        <v>4</v>
      </c>
      <c r="R12" s="11">
        <v>2</v>
      </c>
      <c r="S12" s="11">
        <v>1</v>
      </c>
      <c r="T12" s="11"/>
      <c r="U12" s="11"/>
      <c r="V12" s="11"/>
      <c r="W12" s="11"/>
      <c r="X12" s="12"/>
      <c r="Y12" s="12"/>
      <c r="Z12" s="12"/>
      <c r="AA12" s="12"/>
    </row>
    <row r="13" spans="1:27" ht="32" x14ac:dyDescent="0.2">
      <c r="A13" s="9" t="s">
        <v>230</v>
      </c>
      <c r="B13" s="10" t="s">
        <v>248</v>
      </c>
      <c r="C13" s="23" t="s">
        <v>338</v>
      </c>
      <c r="D13" s="11" t="s">
        <v>102</v>
      </c>
      <c r="E13" s="11" t="s">
        <v>102</v>
      </c>
      <c r="F13" s="11" t="s">
        <v>103</v>
      </c>
      <c r="G13" s="11" t="s">
        <v>103</v>
      </c>
      <c r="H13" s="17" t="s">
        <v>103</v>
      </c>
      <c r="I13" s="11"/>
      <c r="J13" s="11">
        <v>3</v>
      </c>
      <c r="K13" s="11">
        <v>2</v>
      </c>
      <c r="L13" s="11">
        <v>0</v>
      </c>
      <c r="M13" s="11"/>
      <c r="N13" s="11"/>
      <c r="O13" s="11"/>
      <c r="P13" s="11"/>
      <c r="Q13" s="11">
        <v>3</v>
      </c>
      <c r="R13" s="11">
        <v>1</v>
      </c>
      <c r="S13" s="11">
        <v>0</v>
      </c>
      <c r="T13" s="11"/>
      <c r="U13" s="11"/>
      <c r="V13" s="11"/>
      <c r="W13" s="11"/>
      <c r="X13" s="12"/>
      <c r="Y13" s="12"/>
      <c r="Z13" s="12"/>
      <c r="AA13" s="12"/>
    </row>
    <row r="14" spans="1:27" ht="32" x14ac:dyDescent="0.2">
      <c r="A14" s="9" t="s">
        <v>231</v>
      </c>
      <c r="B14" s="10" t="s">
        <v>249</v>
      </c>
      <c r="C14" s="23" t="s">
        <v>338</v>
      </c>
      <c r="D14" s="11" t="s">
        <v>102</v>
      </c>
      <c r="E14" s="11" t="s">
        <v>102</v>
      </c>
      <c r="F14" s="11" t="s">
        <v>103</v>
      </c>
      <c r="G14" s="11" t="s">
        <v>103</v>
      </c>
      <c r="H14" s="17" t="s">
        <v>102</v>
      </c>
      <c r="I14" s="11"/>
      <c r="J14" s="11">
        <v>2</v>
      </c>
      <c r="K14" s="11">
        <v>0</v>
      </c>
      <c r="L14" s="11">
        <v>0</v>
      </c>
      <c r="M14" s="11"/>
      <c r="N14" s="11"/>
      <c r="O14" s="11"/>
      <c r="P14" s="11"/>
      <c r="Q14" s="11">
        <v>0</v>
      </c>
      <c r="R14" s="11">
        <v>0</v>
      </c>
      <c r="S14" s="11">
        <v>0</v>
      </c>
      <c r="T14" s="11"/>
      <c r="U14" s="11"/>
      <c r="V14" s="11"/>
      <c r="W14" s="20"/>
      <c r="X14" s="12"/>
      <c r="Y14" s="12"/>
      <c r="Z14" s="12"/>
      <c r="AA14" s="12"/>
    </row>
    <row r="15" spans="1:27" s="13" customFormat="1" ht="32" x14ac:dyDescent="0.2">
      <c r="A15" s="9" t="s">
        <v>232</v>
      </c>
      <c r="B15" s="10" t="s">
        <v>250</v>
      </c>
      <c r="C15" s="23" t="s">
        <v>338</v>
      </c>
      <c r="D15" s="11" t="s">
        <v>102</v>
      </c>
      <c r="E15" s="11" t="s">
        <v>102</v>
      </c>
      <c r="F15" s="11" t="s">
        <v>103</v>
      </c>
      <c r="G15" s="11" t="s">
        <v>103</v>
      </c>
      <c r="H15" s="17" t="s">
        <v>103</v>
      </c>
      <c r="I15" s="11"/>
      <c r="J15" s="11">
        <v>0</v>
      </c>
      <c r="K15" s="11">
        <v>0</v>
      </c>
      <c r="L15" s="11">
        <v>0</v>
      </c>
      <c r="M15" s="11"/>
      <c r="N15" s="11"/>
      <c r="O15" s="11"/>
      <c r="P15" s="11"/>
      <c r="Q15" s="11">
        <v>0</v>
      </c>
      <c r="R15" s="11">
        <v>0</v>
      </c>
      <c r="S15" s="11">
        <v>0</v>
      </c>
      <c r="T15" s="11"/>
      <c r="U15" s="11"/>
      <c r="V15" s="11"/>
      <c r="W15" s="11"/>
    </row>
    <row r="16" spans="1:27" s="13" customFormat="1" ht="32" x14ac:dyDescent="0.2">
      <c r="A16" s="14" t="s">
        <v>239</v>
      </c>
      <c r="B16" s="15" t="s">
        <v>251</v>
      </c>
      <c r="C16" s="24" t="s">
        <v>390</v>
      </c>
      <c r="D16" s="14" t="s">
        <v>103</v>
      </c>
      <c r="E16" s="14" t="s">
        <v>103</v>
      </c>
      <c r="F16" s="14" t="s">
        <v>103</v>
      </c>
      <c r="G16" s="14" t="s">
        <v>103</v>
      </c>
      <c r="H16" s="18" t="s">
        <v>103</v>
      </c>
      <c r="I16" s="11">
        <v>-1</v>
      </c>
      <c r="J16" s="11">
        <v>-1</v>
      </c>
      <c r="K16" s="11">
        <v>-1</v>
      </c>
      <c r="L16" s="11">
        <v>-1</v>
      </c>
      <c r="M16" s="11">
        <v>-1</v>
      </c>
      <c r="N16" s="11">
        <v>-1</v>
      </c>
      <c r="O16" s="11">
        <v>-1</v>
      </c>
      <c r="P16" s="11">
        <v>-1</v>
      </c>
      <c r="Q16" s="11">
        <v>-1</v>
      </c>
      <c r="R16" s="11">
        <v>-1</v>
      </c>
      <c r="S16" s="11">
        <v>-1</v>
      </c>
      <c r="T16" s="11">
        <v>-1</v>
      </c>
      <c r="U16" s="11">
        <v>-1</v>
      </c>
      <c r="V16" s="11">
        <v>-1</v>
      </c>
      <c r="W16" s="11">
        <v>-1</v>
      </c>
    </row>
    <row r="17" spans="1:27" ht="32" x14ac:dyDescent="0.2">
      <c r="A17" s="14" t="s">
        <v>237</v>
      </c>
      <c r="B17" s="15" t="s">
        <v>252</v>
      </c>
      <c r="C17" s="24" t="s">
        <v>390</v>
      </c>
      <c r="D17" s="14" t="s">
        <v>102</v>
      </c>
      <c r="E17" s="14" t="s">
        <v>102</v>
      </c>
      <c r="F17" s="14" t="s">
        <v>102</v>
      </c>
      <c r="G17" s="14" t="s">
        <v>102</v>
      </c>
      <c r="H17" s="18" t="s">
        <v>103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2"/>
      <c r="Y17" s="12"/>
      <c r="Z17" s="12"/>
      <c r="AA17" s="12"/>
    </row>
    <row r="18" spans="1:27" ht="32" x14ac:dyDescent="0.2">
      <c r="A18" s="9" t="s">
        <v>215</v>
      </c>
      <c r="B18" s="10" t="s">
        <v>253</v>
      </c>
      <c r="C18" s="23" t="s">
        <v>339</v>
      </c>
      <c r="D18" s="11" t="s">
        <v>102</v>
      </c>
      <c r="E18" s="11" t="s">
        <v>102</v>
      </c>
      <c r="F18" s="11" t="s">
        <v>102</v>
      </c>
      <c r="G18" s="11" t="s">
        <v>103</v>
      </c>
      <c r="H18" s="17" t="s">
        <v>102</v>
      </c>
      <c r="I18" s="11"/>
      <c r="J18" s="11" t="s">
        <v>320</v>
      </c>
      <c r="K18" s="11" t="s">
        <v>320</v>
      </c>
      <c r="L18" s="11" t="s">
        <v>320</v>
      </c>
      <c r="M18" s="11" t="s">
        <v>320</v>
      </c>
      <c r="N18" s="11" t="s">
        <v>320</v>
      </c>
      <c r="O18" s="11" t="s">
        <v>320</v>
      </c>
      <c r="P18" s="11" t="s">
        <v>320</v>
      </c>
      <c r="Q18" s="11" t="s">
        <v>320</v>
      </c>
      <c r="R18" s="11" t="s">
        <v>320</v>
      </c>
      <c r="S18" s="11" t="s">
        <v>320</v>
      </c>
      <c r="T18" s="11" t="s">
        <v>320</v>
      </c>
      <c r="U18" s="11" t="s">
        <v>320</v>
      </c>
      <c r="V18" s="11" t="s">
        <v>320</v>
      </c>
      <c r="W18" s="11" t="s">
        <v>320</v>
      </c>
      <c r="X18" s="12"/>
      <c r="Y18" s="12"/>
      <c r="Z18" s="12"/>
      <c r="AA18" s="12"/>
    </row>
    <row r="19" spans="1:27" ht="16" x14ac:dyDescent="0.2">
      <c r="A19" s="9" t="s">
        <v>216</v>
      </c>
      <c r="B19" s="10" t="s">
        <v>254</v>
      </c>
      <c r="C19" s="23" t="s">
        <v>337</v>
      </c>
      <c r="D19" s="11" t="s">
        <v>102</v>
      </c>
      <c r="E19" s="11" t="s">
        <v>103</v>
      </c>
      <c r="F19" s="11" t="s">
        <v>102</v>
      </c>
      <c r="G19" s="11" t="s">
        <v>103</v>
      </c>
      <c r="H19" s="17" t="s">
        <v>102</v>
      </c>
      <c r="I19" s="11"/>
      <c r="J19" s="11" t="s">
        <v>321</v>
      </c>
      <c r="K19" s="11" t="s">
        <v>321</v>
      </c>
      <c r="L19" s="11" t="s">
        <v>321</v>
      </c>
      <c r="M19" s="11" t="s">
        <v>321</v>
      </c>
      <c r="N19" s="11" t="s">
        <v>321</v>
      </c>
      <c r="O19" s="11" t="s">
        <v>321</v>
      </c>
      <c r="P19" s="11" t="s">
        <v>321</v>
      </c>
      <c r="Q19" s="11" t="s">
        <v>363</v>
      </c>
      <c r="R19" s="11" t="s">
        <v>363</v>
      </c>
      <c r="S19" s="11" t="s">
        <v>363</v>
      </c>
      <c r="T19" s="11" t="s">
        <v>363</v>
      </c>
      <c r="U19" s="11" t="s">
        <v>363</v>
      </c>
      <c r="V19" s="11" t="s">
        <v>363</v>
      </c>
      <c r="W19" s="11" t="s">
        <v>363</v>
      </c>
      <c r="X19" s="12"/>
      <c r="Y19" s="12"/>
      <c r="Z19" s="12"/>
      <c r="AA19" s="12"/>
    </row>
    <row r="20" spans="1:27" ht="16" x14ac:dyDescent="0.2">
      <c r="A20" s="9" t="s">
        <v>217</v>
      </c>
      <c r="B20" s="10" t="s">
        <v>255</v>
      </c>
      <c r="C20" s="23" t="s">
        <v>337</v>
      </c>
      <c r="D20" s="11" t="s">
        <v>102</v>
      </c>
      <c r="E20" s="11" t="s">
        <v>103</v>
      </c>
      <c r="F20" s="11" t="s">
        <v>102</v>
      </c>
      <c r="G20" s="11" t="s">
        <v>103</v>
      </c>
      <c r="H20" s="17" t="s">
        <v>102</v>
      </c>
      <c r="I20" s="11"/>
      <c r="J20" s="11" t="s">
        <v>322</v>
      </c>
      <c r="K20" s="11" t="s">
        <v>322</v>
      </c>
      <c r="L20" s="11" t="s">
        <v>322</v>
      </c>
      <c r="M20" s="11" t="s">
        <v>322</v>
      </c>
      <c r="N20" s="11" t="s">
        <v>322</v>
      </c>
      <c r="O20" s="11" t="s">
        <v>322</v>
      </c>
      <c r="P20" s="11" t="s">
        <v>322</v>
      </c>
      <c r="Q20" s="11" t="s">
        <v>322</v>
      </c>
      <c r="R20" s="11" t="s">
        <v>322</v>
      </c>
      <c r="S20" s="11" t="s">
        <v>322</v>
      </c>
      <c r="T20" s="11" t="s">
        <v>322</v>
      </c>
      <c r="U20" s="11" t="s">
        <v>322</v>
      </c>
      <c r="V20" s="11" t="s">
        <v>322</v>
      </c>
      <c r="W20" s="11" t="s">
        <v>322</v>
      </c>
      <c r="X20" s="12"/>
      <c r="Y20" s="12"/>
      <c r="Z20" s="12"/>
      <c r="AA20" s="12"/>
    </row>
    <row r="21" spans="1:27" ht="32" x14ac:dyDescent="0.2">
      <c r="A21" s="9" t="s">
        <v>218</v>
      </c>
      <c r="B21" s="10" t="s">
        <v>256</v>
      </c>
      <c r="C21" s="23" t="s">
        <v>337</v>
      </c>
      <c r="D21" s="11" t="s">
        <v>102</v>
      </c>
      <c r="E21" s="11" t="s">
        <v>103</v>
      </c>
      <c r="F21" s="11" t="s">
        <v>102</v>
      </c>
      <c r="G21" s="11"/>
      <c r="H21" s="17" t="s">
        <v>102</v>
      </c>
      <c r="I21" s="11"/>
      <c r="J21" s="11" t="s">
        <v>321</v>
      </c>
      <c r="K21" s="11" t="s">
        <v>321</v>
      </c>
      <c r="L21" s="11" t="s">
        <v>321</v>
      </c>
      <c r="M21" s="11" t="s">
        <v>321</v>
      </c>
      <c r="N21" s="11" t="s">
        <v>321</v>
      </c>
      <c r="O21" s="11" t="s">
        <v>321</v>
      </c>
      <c r="P21" s="11" t="s">
        <v>321</v>
      </c>
      <c r="Q21" s="11" t="s">
        <v>321</v>
      </c>
      <c r="R21" s="11" t="s">
        <v>321</v>
      </c>
      <c r="S21" s="11" t="s">
        <v>321</v>
      </c>
      <c r="T21" s="11" t="s">
        <v>321</v>
      </c>
      <c r="U21" s="11" t="s">
        <v>321</v>
      </c>
      <c r="V21" s="11" t="s">
        <v>321</v>
      </c>
      <c r="W21" s="11" t="s">
        <v>321</v>
      </c>
      <c r="X21" s="12"/>
      <c r="Y21" s="12"/>
      <c r="Z21" s="12"/>
      <c r="AA21" s="12"/>
    </row>
    <row r="22" spans="1:27" ht="32" x14ac:dyDescent="0.2">
      <c r="A22" s="9" t="s">
        <v>219</v>
      </c>
      <c r="B22" s="10" t="s">
        <v>257</v>
      </c>
      <c r="C22" s="23" t="s">
        <v>339</v>
      </c>
      <c r="D22" s="11" t="s">
        <v>102</v>
      </c>
      <c r="E22" s="11" t="s">
        <v>103</v>
      </c>
      <c r="F22" s="11" t="s">
        <v>102</v>
      </c>
      <c r="G22" s="11"/>
      <c r="H22" s="17" t="s">
        <v>102</v>
      </c>
      <c r="I22" s="11"/>
      <c r="J22" s="11" t="s">
        <v>320</v>
      </c>
      <c r="K22" s="11" t="s">
        <v>320</v>
      </c>
      <c r="L22" s="11" t="s">
        <v>320</v>
      </c>
      <c r="M22" s="11" t="s">
        <v>320</v>
      </c>
      <c r="N22" s="11" t="s">
        <v>320</v>
      </c>
      <c r="O22" s="11" t="s">
        <v>320</v>
      </c>
      <c r="P22" s="11" t="s">
        <v>320</v>
      </c>
      <c r="Q22" s="11" t="s">
        <v>320</v>
      </c>
      <c r="R22" s="11" t="s">
        <v>320</v>
      </c>
      <c r="S22" s="11" t="s">
        <v>320</v>
      </c>
      <c r="T22" s="11" t="s">
        <v>320</v>
      </c>
      <c r="U22" s="11" t="s">
        <v>320</v>
      </c>
      <c r="V22" s="11" t="s">
        <v>320</v>
      </c>
      <c r="W22" s="11" t="s">
        <v>320</v>
      </c>
      <c r="X22" s="12"/>
      <c r="Y22" s="12"/>
      <c r="Z22" s="12"/>
      <c r="AA22" s="12"/>
    </row>
    <row r="23" spans="1:27" ht="64" x14ac:dyDescent="0.2">
      <c r="A23" s="9" t="s">
        <v>220</v>
      </c>
      <c r="B23" s="10" t="s">
        <v>258</v>
      </c>
      <c r="C23" s="23" t="s">
        <v>337</v>
      </c>
      <c r="D23" s="11" t="s">
        <v>102</v>
      </c>
      <c r="E23" s="11" t="s">
        <v>103</v>
      </c>
      <c r="F23" s="11" t="s">
        <v>102</v>
      </c>
      <c r="G23" s="11" t="s">
        <v>102</v>
      </c>
      <c r="H23" s="17" t="s">
        <v>102</v>
      </c>
      <c r="I23" s="11"/>
      <c r="J23" s="11" t="s">
        <v>342</v>
      </c>
      <c r="K23" s="11" t="s">
        <v>342</v>
      </c>
      <c r="L23" s="11" t="s">
        <v>342</v>
      </c>
      <c r="M23" s="11" t="s">
        <v>342</v>
      </c>
      <c r="N23" s="11" t="s">
        <v>342</v>
      </c>
      <c r="O23" s="11" t="s">
        <v>343</v>
      </c>
      <c r="P23" s="11" t="s">
        <v>343</v>
      </c>
      <c r="Q23" s="11" t="s">
        <v>342</v>
      </c>
      <c r="R23" s="11" t="s">
        <v>342</v>
      </c>
      <c r="S23" s="11" t="s">
        <v>342</v>
      </c>
      <c r="T23" s="11" t="s">
        <v>342</v>
      </c>
      <c r="U23" s="11" t="s">
        <v>342</v>
      </c>
      <c r="V23" s="11" t="s">
        <v>342</v>
      </c>
      <c r="W23" s="11" t="s">
        <v>342</v>
      </c>
      <c r="X23" s="12"/>
      <c r="Y23" s="12"/>
      <c r="Z23" s="12"/>
      <c r="AA23" s="12"/>
    </row>
    <row r="24" spans="1:27" ht="32" x14ac:dyDescent="0.2">
      <c r="A24" s="9" t="s">
        <v>221</v>
      </c>
      <c r="B24" s="10" t="s">
        <v>259</v>
      </c>
      <c r="C24" s="23" t="s">
        <v>337</v>
      </c>
      <c r="D24" s="11" t="s">
        <v>102</v>
      </c>
      <c r="E24" s="11" t="s">
        <v>103</v>
      </c>
      <c r="F24" s="11" t="s">
        <v>102</v>
      </c>
      <c r="G24" s="11" t="s">
        <v>102</v>
      </c>
      <c r="H24" s="17" t="s">
        <v>102</v>
      </c>
      <c r="I24" s="11"/>
      <c r="J24" s="11" t="s">
        <v>321</v>
      </c>
      <c r="K24" s="11" t="s">
        <v>321</v>
      </c>
      <c r="L24" s="11" t="s">
        <v>321</v>
      </c>
      <c r="M24" s="11" t="s">
        <v>321</v>
      </c>
      <c r="N24" s="11" t="s">
        <v>321</v>
      </c>
      <c r="O24" s="11" t="s">
        <v>321</v>
      </c>
      <c r="P24" s="11" t="s">
        <v>321</v>
      </c>
      <c r="Q24" s="11" t="s">
        <v>321</v>
      </c>
      <c r="R24" s="11" t="s">
        <v>321</v>
      </c>
      <c r="S24" s="11" t="s">
        <v>321</v>
      </c>
      <c r="T24" s="11" t="s">
        <v>321</v>
      </c>
      <c r="U24" s="11" t="s">
        <v>321</v>
      </c>
      <c r="V24" s="11" t="s">
        <v>321</v>
      </c>
      <c r="W24" s="11" t="s">
        <v>321</v>
      </c>
      <c r="X24" s="12"/>
      <c r="Y24" s="12"/>
      <c r="Z24" s="12"/>
      <c r="AA24" s="12"/>
    </row>
    <row r="25" spans="1:27" ht="16" x14ac:dyDescent="0.2">
      <c r="A25" s="9" t="s">
        <v>333</v>
      </c>
      <c r="B25" s="10" t="s">
        <v>340</v>
      </c>
      <c r="C25" s="23" t="s">
        <v>339</v>
      </c>
      <c r="E25" s="11"/>
      <c r="F25" s="11"/>
      <c r="G25" s="11"/>
      <c r="H25" s="17"/>
      <c r="I25" s="11"/>
      <c r="J25" s="11" t="s">
        <v>320</v>
      </c>
      <c r="K25" s="11" t="s">
        <v>320</v>
      </c>
      <c r="L25" s="11" t="s">
        <v>320</v>
      </c>
      <c r="M25" s="11" t="s">
        <v>320</v>
      </c>
      <c r="N25" s="11" t="s">
        <v>320</v>
      </c>
      <c r="O25" s="11" t="s">
        <v>320</v>
      </c>
      <c r="P25" s="11" t="s">
        <v>320</v>
      </c>
      <c r="Q25" s="11" t="s">
        <v>320</v>
      </c>
      <c r="R25" s="11" t="s">
        <v>320</v>
      </c>
      <c r="S25" s="11" t="s">
        <v>320</v>
      </c>
      <c r="T25" s="11" t="s">
        <v>320</v>
      </c>
      <c r="U25" s="11" t="s">
        <v>320</v>
      </c>
      <c r="V25" s="11" t="s">
        <v>320</v>
      </c>
      <c r="W25" s="11" t="s">
        <v>320</v>
      </c>
      <c r="X25" s="12"/>
      <c r="Y25" s="12"/>
      <c r="Z25" s="12"/>
      <c r="AA25" s="12"/>
    </row>
    <row r="26" spans="1:27" ht="16" x14ac:dyDescent="0.2">
      <c r="A26" s="9" t="s">
        <v>260</v>
      </c>
      <c r="B26" s="10" t="s">
        <v>276</v>
      </c>
      <c r="C26" s="23" t="s">
        <v>337</v>
      </c>
      <c r="D26" s="11" t="s">
        <v>102</v>
      </c>
      <c r="E26" s="11"/>
      <c r="F26" s="11" t="s">
        <v>102</v>
      </c>
      <c r="G26" s="11" t="s">
        <v>102</v>
      </c>
      <c r="H26" s="17" t="s">
        <v>102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12"/>
      <c r="Z26" s="12"/>
      <c r="AA26" s="12"/>
    </row>
    <row r="27" spans="1:27" ht="16" x14ac:dyDescent="0.2">
      <c r="A27" s="9" t="s">
        <v>261</v>
      </c>
      <c r="B27" s="10" t="s">
        <v>277</v>
      </c>
      <c r="C27" s="23" t="s">
        <v>337</v>
      </c>
      <c r="D27" s="11" t="s">
        <v>102</v>
      </c>
      <c r="E27" s="11" t="s">
        <v>103</v>
      </c>
      <c r="F27" s="11" t="s">
        <v>102</v>
      </c>
      <c r="G27" s="11" t="s">
        <v>102</v>
      </c>
      <c r="H27" s="17" t="s">
        <v>102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12"/>
      <c r="Z27" s="12"/>
      <c r="AA27" s="12"/>
    </row>
    <row r="28" spans="1:27" ht="16" x14ac:dyDescent="0.2">
      <c r="A28" s="9" t="s">
        <v>262</v>
      </c>
      <c r="B28" s="10" t="s">
        <v>278</v>
      </c>
      <c r="C28" s="23" t="s">
        <v>337</v>
      </c>
      <c r="D28" s="11" t="s">
        <v>102</v>
      </c>
      <c r="E28" s="11" t="s">
        <v>103</v>
      </c>
      <c r="F28" s="11" t="s">
        <v>102</v>
      </c>
      <c r="G28" s="11" t="s">
        <v>102</v>
      </c>
      <c r="H28" s="17" t="s">
        <v>102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12"/>
      <c r="Z28" s="12"/>
      <c r="AA28" s="12"/>
    </row>
    <row r="29" spans="1:27" ht="16" x14ac:dyDescent="0.2">
      <c r="A29" s="9" t="s">
        <v>263</v>
      </c>
      <c r="B29" s="10" t="s">
        <v>279</v>
      </c>
      <c r="C29" s="23" t="s">
        <v>337</v>
      </c>
      <c r="D29" s="11" t="s">
        <v>102</v>
      </c>
      <c r="E29" s="11" t="s">
        <v>103</v>
      </c>
      <c r="F29" s="11" t="s">
        <v>102</v>
      </c>
      <c r="G29" s="11" t="s">
        <v>102</v>
      </c>
      <c r="H29" s="17" t="s">
        <v>102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2"/>
      <c r="Y29" s="12"/>
      <c r="Z29" s="12"/>
      <c r="AA29" s="12"/>
    </row>
    <row r="30" spans="1:27" ht="16" x14ac:dyDescent="0.2">
      <c r="A30" s="9" t="s">
        <v>264</v>
      </c>
      <c r="B30" s="10" t="s">
        <v>280</v>
      </c>
      <c r="C30" s="23" t="s">
        <v>337</v>
      </c>
      <c r="D30" s="11" t="s">
        <v>102</v>
      </c>
      <c r="E30" s="11"/>
      <c r="F30" s="11" t="s">
        <v>102</v>
      </c>
      <c r="G30" s="11" t="s">
        <v>102</v>
      </c>
      <c r="H30" s="17" t="s">
        <v>102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12"/>
      <c r="Z30" s="12"/>
      <c r="AA30" s="12"/>
    </row>
    <row r="31" spans="1:27" ht="16" x14ac:dyDescent="0.2">
      <c r="A31" s="9" t="s">
        <v>265</v>
      </c>
      <c r="B31" s="10" t="s">
        <v>281</v>
      </c>
      <c r="C31" s="23" t="s">
        <v>337</v>
      </c>
      <c r="D31" s="11" t="s">
        <v>102</v>
      </c>
      <c r="E31" s="11" t="s">
        <v>103</v>
      </c>
      <c r="F31" s="11" t="s">
        <v>102</v>
      </c>
      <c r="G31" s="11" t="s">
        <v>102</v>
      </c>
      <c r="H31" s="17" t="s">
        <v>102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12"/>
      <c r="Z31" s="12"/>
      <c r="AA31" s="12"/>
    </row>
    <row r="32" spans="1:27" ht="16" x14ac:dyDescent="0.2">
      <c r="A32" s="9" t="s">
        <v>266</v>
      </c>
      <c r="B32" s="10" t="s">
        <v>282</v>
      </c>
      <c r="C32" s="23" t="s">
        <v>337</v>
      </c>
      <c r="D32" s="11" t="s">
        <v>102</v>
      </c>
      <c r="E32" s="11" t="s">
        <v>103</v>
      </c>
      <c r="F32" s="11" t="s">
        <v>102</v>
      </c>
      <c r="G32" s="11" t="s">
        <v>102</v>
      </c>
      <c r="H32" s="17" t="s">
        <v>102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12"/>
      <c r="Z32" s="12"/>
      <c r="AA32" s="12"/>
    </row>
    <row r="33" spans="1:27" ht="16" x14ac:dyDescent="0.2">
      <c r="A33" s="9" t="s">
        <v>275</v>
      </c>
      <c r="B33" s="10" t="s">
        <v>283</v>
      </c>
      <c r="C33" s="23" t="s">
        <v>337</v>
      </c>
      <c r="D33" s="11" t="s">
        <v>102</v>
      </c>
      <c r="E33" s="11" t="s">
        <v>103</v>
      </c>
      <c r="F33" s="11" t="s">
        <v>102</v>
      </c>
      <c r="G33" s="11" t="s">
        <v>102</v>
      </c>
      <c r="H33" s="17" t="s">
        <v>102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2"/>
      <c r="Y33" s="12"/>
      <c r="Z33" s="12"/>
      <c r="AA33" s="12"/>
    </row>
    <row r="34" spans="1:27" ht="16" x14ac:dyDescent="0.2">
      <c r="A34" s="9" t="s">
        <v>267</v>
      </c>
      <c r="B34" s="10" t="s">
        <v>284</v>
      </c>
      <c r="C34" s="23" t="s">
        <v>337</v>
      </c>
      <c r="D34" s="11" t="s">
        <v>102</v>
      </c>
      <c r="E34" s="11"/>
      <c r="F34" s="11" t="s">
        <v>102</v>
      </c>
      <c r="G34" s="11" t="s">
        <v>102</v>
      </c>
      <c r="H34" s="17" t="s">
        <v>102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2"/>
      <c r="Y34" s="12"/>
      <c r="Z34" s="12"/>
      <c r="AA34" s="12"/>
    </row>
    <row r="35" spans="1:27" ht="16" x14ac:dyDescent="0.2">
      <c r="A35" s="9" t="s">
        <v>268</v>
      </c>
      <c r="B35" s="10" t="s">
        <v>285</v>
      </c>
      <c r="C35" s="23" t="s">
        <v>337</v>
      </c>
      <c r="D35" s="11" t="s">
        <v>102</v>
      </c>
      <c r="E35" s="11" t="s">
        <v>103</v>
      </c>
      <c r="F35" s="11" t="s">
        <v>102</v>
      </c>
      <c r="G35" s="11" t="s">
        <v>102</v>
      </c>
      <c r="H35" s="17" t="s">
        <v>102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2"/>
      <c r="Y35" s="12"/>
      <c r="Z35" s="12"/>
      <c r="AA35" s="12"/>
    </row>
    <row r="36" spans="1:27" ht="16" x14ac:dyDescent="0.2">
      <c r="A36" s="9" t="s">
        <v>269</v>
      </c>
      <c r="B36" s="10" t="s">
        <v>286</v>
      </c>
      <c r="C36" s="23" t="s">
        <v>337</v>
      </c>
      <c r="D36" s="11" t="s">
        <v>102</v>
      </c>
      <c r="E36" s="11" t="s">
        <v>103</v>
      </c>
      <c r="F36" s="11" t="s">
        <v>102</v>
      </c>
      <c r="G36" s="11" t="s">
        <v>102</v>
      </c>
      <c r="H36" s="17" t="s">
        <v>102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2"/>
      <c r="Y36" s="12"/>
      <c r="Z36" s="12"/>
      <c r="AA36" s="12"/>
    </row>
    <row r="37" spans="1:27" ht="16" x14ac:dyDescent="0.2">
      <c r="A37" s="9" t="s">
        <v>270</v>
      </c>
      <c r="B37" s="10" t="s">
        <v>287</v>
      </c>
      <c r="C37" s="23" t="s">
        <v>337</v>
      </c>
      <c r="D37" s="11" t="s">
        <v>102</v>
      </c>
      <c r="E37" s="11" t="s">
        <v>103</v>
      </c>
      <c r="F37" s="11" t="s">
        <v>102</v>
      </c>
      <c r="G37" s="11" t="s">
        <v>102</v>
      </c>
      <c r="H37" s="17" t="s">
        <v>102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2"/>
      <c r="Y37" s="12"/>
      <c r="Z37" s="12"/>
      <c r="AA37" s="12"/>
    </row>
    <row r="38" spans="1:27" ht="16" x14ac:dyDescent="0.2">
      <c r="A38" s="9" t="s">
        <v>271</v>
      </c>
      <c r="B38" s="10" t="s">
        <v>288</v>
      </c>
      <c r="C38" s="23" t="s">
        <v>337</v>
      </c>
      <c r="D38" s="11" t="s">
        <v>102</v>
      </c>
      <c r="E38" s="11" t="s">
        <v>103</v>
      </c>
      <c r="F38" s="11" t="s">
        <v>102</v>
      </c>
      <c r="G38" s="11" t="s">
        <v>102</v>
      </c>
      <c r="H38" s="17" t="s">
        <v>102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2"/>
      <c r="Y38" s="12"/>
      <c r="Z38" s="12"/>
      <c r="AA38" s="12"/>
    </row>
    <row r="39" spans="1:27" ht="16" x14ac:dyDescent="0.2">
      <c r="A39" s="9" t="s">
        <v>272</v>
      </c>
      <c r="B39" s="10" t="s">
        <v>289</v>
      </c>
      <c r="C39" s="23" t="s">
        <v>337</v>
      </c>
      <c r="D39" s="11" t="s">
        <v>102</v>
      </c>
      <c r="E39" s="11" t="s">
        <v>103</v>
      </c>
      <c r="F39" s="11" t="s">
        <v>102</v>
      </c>
      <c r="G39" s="11" t="s">
        <v>102</v>
      </c>
      <c r="H39" s="17" t="s">
        <v>102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2"/>
      <c r="Y39" s="12"/>
      <c r="Z39" s="12"/>
      <c r="AA39" s="12"/>
    </row>
    <row r="40" spans="1:27" ht="16" x14ac:dyDescent="0.2">
      <c r="A40" s="9" t="s">
        <v>274</v>
      </c>
      <c r="B40" s="10" t="s">
        <v>290</v>
      </c>
      <c r="C40" s="23" t="s">
        <v>337</v>
      </c>
      <c r="D40" s="11" t="s">
        <v>102</v>
      </c>
      <c r="E40" s="11" t="s">
        <v>103</v>
      </c>
      <c r="F40" s="11" t="s">
        <v>102</v>
      </c>
      <c r="G40" s="11" t="s">
        <v>102</v>
      </c>
      <c r="H40" s="17" t="s">
        <v>102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2"/>
      <c r="Y40" s="12"/>
      <c r="Z40" s="12"/>
      <c r="AA40" s="12"/>
    </row>
    <row r="41" spans="1:27" ht="16" x14ac:dyDescent="0.2">
      <c r="A41" s="9" t="s">
        <v>273</v>
      </c>
      <c r="B41" s="10" t="s">
        <v>291</v>
      </c>
      <c r="C41" s="23" t="s">
        <v>337</v>
      </c>
      <c r="D41" s="11" t="s">
        <v>102</v>
      </c>
      <c r="E41" s="11" t="s">
        <v>103</v>
      </c>
      <c r="F41" s="11" t="s">
        <v>102</v>
      </c>
      <c r="G41" s="11" t="s">
        <v>102</v>
      </c>
      <c r="H41" s="17" t="s">
        <v>102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2"/>
      <c r="Y41" s="12"/>
      <c r="Z41" s="12"/>
      <c r="AA41" s="12"/>
    </row>
    <row r="42" spans="1:27" ht="16" x14ac:dyDescent="0.2">
      <c r="A42" s="9" t="s">
        <v>222</v>
      </c>
      <c r="B42" s="10" t="s">
        <v>292</v>
      </c>
      <c r="C42" s="23" t="s">
        <v>337</v>
      </c>
      <c r="D42" s="11" t="s">
        <v>102</v>
      </c>
      <c r="E42" s="11" t="s">
        <v>103</v>
      </c>
      <c r="F42" s="11" t="s">
        <v>102</v>
      </c>
      <c r="G42" s="11" t="s">
        <v>102</v>
      </c>
      <c r="H42" s="17" t="s">
        <v>102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2"/>
      <c r="Y42" s="12"/>
      <c r="Z42" s="12"/>
      <c r="AA42" s="12"/>
    </row>
    <row r="43" spans="1:27" ht="32" x14ac:dyDescent="0.2">
      <c r="A43" s="9" t="s">
        <v>226</v>
      </c>
      <c r="B43" s="10" t="s">
        <v>293</v>
      </c>
      <c r="C43" s="23" t="s">
        <v>337</v>
      </c>
      <c r="D43" s="11" t="s">
        <v>102</v>
      </c>
      <c r="E43" s="11" t="s">
        <v>103</v>
      </c>
      <c r="F43" s="11" t="s">
        <v>102</v>
      </c>
      <c r="G43" s="11" t="s">
        <v>103</v>
      </c>
      <c r="H43" s="17" t="s">
        <v>102</v>
      </c>
      <c r="I43" s="11" t="s">
        <v>321</v>
      </c>
      <c r="J43" s="11" t="s">
        <v>321</v>
      </c>
      <c r="K43" s="11" t="s">
        <v>321</v>
      </c>
      <c r="L43" s="11" t="s">
        <v>321</v>
      </c>
      <c r="M43" s="11" t="s">
        <v>321</v>
      </c>
      <c r="N43" s="11" t="s">
        <v>321</v>
      </c>
      <c r="O43" s="11" t="s">
        <v>321</v>
      </c>
      <c r="P43" s="11" t="s">
        <v>321</v>
      </c>
      <c r="Q43" s="11" t="s">
        <v>321</v>
      </c>
      <c r="R43" s="11" t="s">
        <v>321</v>
      </c>
      <c r="S43" s="11" t="s">
        <v>321</v>
      </c>
      <c r="T43" s="11" t="s">
        <v>321</v>
      </c>
      <c r="U43" s="11" t="s">
        <v>321</v>
      </c>
      <c r="V43" s="11" t="s">
        <v>321</v>
      </c>
      <c r="W43" s="11" t="s">
        <v>321</v>
      </c>
      <c r="X43" s="12"/>
      <c r="Y43" s="12"/>
      <c r="Z43" s="12"/>
      <c r="AA43" s="12"/>
    </row>
    <row r="44" spans="1:27" ht="32" x14ac:dyDescent="0.2">
      <c r="A44" s="9" t="s">
        <v>227</v>
      </c>
      <c r="B44" s="10" t="s">
        <v>294</v>
      </c>
      <c r="C44" s="23" t="s">
        <v>337</v>
      </c>
      <c r="D44" s="11" t="s">
        <v>102</v>
      </c>
      <c r="E44" s="11" t="s">
        <v>103</v>
      </c>
      <c r="F44" s="11" t="s">
        <v>102</v>
      </c>
      <c r="G44" s="11"/>
      <c r="H44" s="17" t="s">
        <v>102</v>
      </c>
      <c r="I44" s="11" t="s">
        <v>321</v>
      </c>
      <c r="J44" s="11" t="s">
        <v>321</v>
      </c>
      <c r="K44" s="11" t="s">
        <v>321</v>
      </c>
      <c r="L44" s="11" t="s">
        <v>321</v>
      </c>
      <c r="M44" s="11" t="s">
        <v>321</v>
      </c>
      <c r="N44" s="11" t="s">
        <v>321</v>
      </c>
      <c r="O44" s="11" t="s">
        <v>321</v>
      </c>
      <c r="P44" s="11" t="s">
        <v>321</v>
      </c>
      <c r="Q44" s="11" t="s">
        <v>321</v>
      </c>
      <c r="R44" s="11" t="s">
        <v>321</v>
      </c>
      <c r="S44" s="11" t="s">
        <v>321</v>
      </c>
      <c r="T44" s="11" t="s">
        <v>321</v>
      </c>
      <c r="U44" s="11" t="s">
        <v>321</v>
      </c>
      <c r="V44" s="11" t="s">
        <v>321</v>
      </c>
      <c r="W44" s="11" t="s">
        <v>321</v>
      </c>
      <c r="X44" s="12"/>
      <c r="Y44" s="12"/>
      <c r="Z44" s="12"/>
      <c r="AA44" s="12"/>
    </row>
    <row r="45" spans="1:27" ht="32" x14ac:dyDescent="0.2">
      <c r="A45" s="9" t="s">
        <v>224</v>
      </c>
      <c r="B45" s="10" t="s">
        <v>295</v>
      </c>
      <c r="C45" s="23" t="s">
        <v>337</v>
      </c>
      <c r="D45" s="11" t="s">
        <v>102</v>
      </c>
      <c r="E45" s="11" t="s">
        <v>103</v>
      </c>
      <c r="F45" s="11" t="s">
        <v>102</v>
      </c>
      <c r="G45" s="11"/>
      <c r="H45" s="17" t="s">
        <v>102</v>
      </c>
      <c r="I45" s="11" t="s">
        <v>321</v>
      </c>
      <c r="J45" s="11" t="s">
        <v>321</v>
      </c>
      <c r="K45" s="11" t="s">
        <v>321</v>
      </c>
      <c r="L45" s="11" t="s">
        <v>321</v>
      </c>
      <c r="M45" s="11" t="s">
        <v>321</v>
      </c>
      <c r="N45" s="11" t="s">
        <v>321</v>
      </c>
      <c r="O45" s="11" t="s">
        <v>321</v>
      </c>
      <c r="P45" s="11" t="s">
        <v>321</v>
      </c>
      <c r="Q45" s="11" t="s">
        <v>321</v>
      </c>
      <c r="R45" s="11" t="s">
        <v>321</v>
      </c>
      <c r="S45" s="11" t="s">
        <v>321</v>
      </c>
      <c r="T45" s="11" t="s">
        <v>321</v>
      </c>
      <c r="U45" s="11" t="s">
        <v>321</v>
      </c>
      <c r="V45" s="11" t="s">
        <v>321</v>
      </c>
      <c r="W45" s="11" t="s">
        <v>321</v>
      </c>
      <c r="X45" s="12"/>
      <c r="Y45" s="12"/>
      <c r="Z45" s="12"/>
      <c r="AA45" s="12"/>
    </row>
    <row r="46" spans="1:27" ht="32" x14ac:dyDescent="0.2">
      <c r="A46" s="9" t="s">
        <v>225</v>
      </c>
      <c r="B46" s="10" t="s">
        <v>296</v>
      </c>
      <c r="C46" s="23" t="s">
        <v>337</v>
      </c>
      <c r="D46" s="11" t="s">
        <v>102</v>
      </c>
      <c r="E46" s="11" t="s">
        <v>102</v>
      </c>
      <c r="F46" s="11" t="s">
        <v>102</v>
      </c>
      <c r="G46" s="11" t="s">
        <v>103</v>
      </c>
      <c r="H46" s="17" t="s">
        <v>102</v>
      </c>
      <c r="I46" s="11" t="s">
        <v>321</v>
      </c>
      <c r="J46" s="11" t="s">
        <v>321</v>
      </c>
      <c r="K46" s="11" t="s">
        <v>321</v>
      </c>
      <c r="L46" s="11" t="s">
        <v>321</v>
      </c>
      <c r="M46" s="11" t="s">
        <v>321</v>
      </c>
      <c r="N46" s="11" t="s">
        <v>321</v>
      </c>
      <c r="O46" s="11" t="s">
        <v>321</v>
      </c>
      <c r="P46" s="11" t="s">
        <v>321</v>
      </c>
      <c r="Q46" s="11" t="s">
        <v>321</v>
      </c>
      <c r="R46" s="11" t="s">
        <v>321</v>
      </c>
      <c r="S46" s="11" t="s">
        <v>321</v>
      </c>
      <c r="T46" s="11" t="s">
        <v>321</v>
      </c>
      <c r="U46" s="11" t="s">
        <v>321</v>
      </c>
      <c r="V46" s="11" t="s">
        <v>321</v>
      </c>
      <c r="W46" s="11" t="s">
        <v>321</v>
      </c>
      <c r="X46" s="12"/>
      <c r="Y46" s="12"/>
      <c r="Z46" s="12"/>
      <c r="AA46" s="12"/>
    </row>
    <row r="47" spans="1:27" ht="32" x14ac:dyDescent="0.2">
      <c r="A47" s="9" t="s">
        <v>223</v>
      </c>
      <c r="B47" s="10" t="s">
        <v>297</v>
      </c>
      <c r="C47" s="23" t="s">
        <v>337</v>
      </c>
      <c r="D47" s="11" t="s">
        <v>102</v>
      </c>
      <c r="E47" s="11" t="s">
        <v>103</v>
      </c>
      <c r="F47" s="11" t="s">
        <v>102</v>
      </c>
      <c r="G47" s="11" t="s">
        <v>103</v>
      </c>
      <c r="H47" s="17" t="s">
        <v>102</v>
      </c>
      <c r="I47" s="11" t="s">
        <v>321</v>
      </c>
      <c r="J47" s="11" t="s">
        <v>321</v>
      </c>
      <c r="K47" s="11" t="s">
        <v>321</v>
      </c>
      <c r="L47" s="11" t="s">
        <v>321</v>
      </c>
      <c r="M47" s="11" t="s">
        <v>321</v>
      </c>
      <c r="N47" s="11" t="s">
        <v>321</v>
      </c>
      <c r="O47" s="11" t="s">
        <v>321</v>
      </c>
      <c r="P47" s="11" t="s">
        <v>321</v>
      </c>
      <c r="Q47" s="11" t="s">
        <v>321</v>
      </c>
      <c r="R47" s="11" t="s">
        <v>321</v>
      </c>
      <c r="S47" s="11" t="s">
        <v>321</v>
      </c>
      <c r="T47" s="11" t="s">
        <v>321</v>
      </c>
      <c r="U47" s="11" t="s">
        <v>321</v>
      </c>
      <c r="V47" s="11" t="s">
        <v>321</v>
      </c>
      <c r="W47" s="11" t="s">
        <v>321</v>
      </c>
      <c r="X47" s="12"/>
      <c r="Y47" s="12"/>
      <c r="Z47" s="12"/>
      <c r="AA47" s="12"/>
    </row>
    <row r="48" spans="1:27" ht="16" x14ac:dyDescent="0.2">
      <c r="A48" s="9" t="s">
        <v>324</v>
      </c>
      <c r="B48" s="10" t="s">
        <v>298</v>
      </c>
      <c r="C48" s="23" t="s">
        <v>339</v>
      </c>
      <c r="D48" s="11" t="s">
        <v>102</v>
      </c>
      <c r="E48" s="11" t="s">
        <v>102</v>
      </c>
      <c r="F48" s="11" t="s">
        <v>102</v>
      </c>
      <c r="G48" s="11" t="s">
        <v>103</v>
      </c>
      <c r="H48" s="17" t="s">
        <v>102</v>
      </c>
      <c r="I48" s="11" t="s">
        <v>320</v>
      </c>
      <c r="J48" s="11" t="s">
        <v>320</v>
      </c>
      <c r="K48" s="11" t="s">
        <v>320</v>
      </c>
      <c r="L48" s="11" t="s">
        <v>320</v>
      </c>
      <c r="M48" s="11" t="s">
        <v>320</v>
      </c>
      <c r="N48" s="11" t="s">
        <v>320</v>
      </c>
      <c r="O48" s="11" t="s">
        <v>320</v>
      </c>
      <c r="P48" s="11" t="s">
        <v>320</v>
      </c>
      <c r="Q48" s="11" t="s">
        <v>320</v>
      </c>
      <c r="R48" s="11" t="s">
        <v>320</v>
      </c>
      <c r="S48" s="11" t="s">
        <v>320</v>
      </c>
      <c r="T48" s="11" t="s">
        <v>320</v>
      </c>
      <c r="U48" s="11" t="s">
        <v>320</v>
      </c>
      <c r="V48" s="11" t="s">
        <v>320</v>
      </c>
      <c r="W48" s="11" t="s">
        <v>320</v>
      </c>
      <c r="X48" s="12"/>
      <c r="Y48" s="12"/>
      <c r="Z48" s="12"/>
      <c r="AA48" s="12"/>
    </row>
    <row r="49" spans="1:27" ht="16" x14ac:dyDescent="0.2">
      <c r="A49" s="9" t="s">
        <v>325</v>
      </c>
      <c r="B49" s="10" t="s">
        <v>18</v>
      </c>
      <c r="C49" s="23" t="s">
        <v>339</v>
      </c>
      <c r="D49" s="11" t="s">
        <v>102</v>
      </c>
      <c r="E49" s="11" t="s">
        <v>102</v>
      </c>
      <c r="F49" s="11" t="s">
        <v>102</v>
      </c>
      <c r="G49" s="11" t="s">
        <v>103</v>
      </c>
      <c r="H49" s="17" t="s">
        <v>102</v>
      </c>
      <c r="I49" s="11" t="s">
        <v>320</v>
      </c>
      <c r="J49" s="11" t="s">
        <v>341</v>
      </c>
      <c r="K49" s="11" t="s">
        <v>341</v>
      </c>
      <c r="L49" s="11" t="s">
        <v>320</v>
      </c>
      <c r="M49" s="11" t="s">
        <v>320</v>
      </c>
      <c r="N49" s="11" t="s">
        <v>320</v>
      </c>
      <c r="O49" s="11" t="s">
        <v>320</v>
      </c>
      <c r="P49" s="11" t="s">
        <v>320</v>
      </c>
      <c r="Q49" s="11" t="s">
        <v>320</v>
      </c>
      <c r="R49" s="11" t="s">
        <v>320</v>
      </c>
      <c r="S49" s="11" t="s">
        <v>320</v>
      </c>
      <c r="T49" s="11" t="s">
        <v>320</v>
      </c>
      <c r="U49" s="11" t="s">
        <v>320</v>
      </c>
      <c r="V49" s="11" t="s">
        <v>320</v>
      </c>
      <c r="W49" s="11" t="s">
        <v>320</v>
      </c>
      <c r="X49" s="12"/>
      <c r="Y49" s="12"/>
      <c r="Z49" s="12"/>
      <c r="AA49" s="12"/>
    </row>
    <row r="50" spans="1:27" ht="16" x14ac:dyDescent="0.2">
      <c r="A50" s="9" t="s">
        <v>326</v>
      </c>
      <c r="B50" s="10" t="s">
        <v>299</v>
      </c>
      <c r="C50" s="23" t="s">
        <v>339</v>
      </c>
      <c r="D50" s="11" t="s">
        <v>102</v>
      </c>
      <c r="E50" s="11" t="s">
        <v>102</v>
      </c>
      <c r="F50" s="11" t="s">
        <v>102</v>
      </c>
      <c r="G50" s="11" t="s">
        <v>103</v>
      </c>
      <c r="H50" s="17" t="s">
        <v>102</v>
      </c>
      <c r="I50" s="11" t="s">
        <v>320</v>
      </c>
      <c r="J50" s="11" t="s">
        <v>341</v>
      </c>
      <c r="K50" s="11" t="s">
        <v>320</v>
      </c>
      <c r="L50" s="11" t="s">
        <v>320</v>
      </c>
      <c r="M50" s="11" t="s">
        <v>320</v>
      </c>
      <c r="N50" s="11" t="s">
        <v>320</v>
      </c>
      <c r="O50" s="11" t="s">
        <v>320</v>
      </c>
      <c r="P50" s="11" t="s">
        <v>320</v>
      </c>
      <c r="Q50" s="11" t="s">
        <v>320</v>
      </c>
      <c r="R50" s="11" t="s">
        <v>320</v>
      </c>
      <c r="S50" s="11" t="s">
        <v>320</v>
      </c>
      <c r="T50" s="11" t="s">
        <v>320</v>
      </c>
      <c r="U50" s="11" t="s">
        <v>320</v>
      </c>
      <c r="V50" s="11" t="s">
        <v>320</v>
      </c>
      <c r="W50" s="11" t="s">
        <v>320</v>
      </c>
      <c r="X50" s="12"/>
      <c r="Y50" s="12"/>
      <c r="Z50" s="12"/>
      <c r="AA50" s="12"/>
    </row>
    <row r="51" spans="1:27" ht="16" x14ac:dyDescent="0.2">
      <c r="A51" s="9" t="s">
        <v>327</v>
      </c>
      <c r="B51" s="10" t="s">
        <v>300</v>
      </c>
      <c r="C51" s="23" t="s">
        <v>339</v>
      </c>
      <c r="D51" s="11" t="s">
        <v>102</v>
      </c>
      <c r="E51" s="11" t="s">
        <v>102</v>
      </c>
      <c r="F51" s="11" t="s">
        <v>102</v>
      </c>
      <c r="G51" s="11" t="s">
        <v>103</v>
      </c>
      <c r="H51" s="17" t="s">
        <v>102</v>
      </c>
      <c r="I51" s="11" t="s">
        <v>320</v>
      </c>
      <c r="J51" s="11" t="s">
        <v>320</v>
      </c>
      <c r="K51" s="11" t="s">
        <v>320</v>
      </c>
      <c r="L51" s="11" t="s">
        <v>320</v>
      </c>
      <c r="M51" s="11" t="s">
        <v>320</v>
      </c>
      <c r="N51" s="11" t="s">
        <v>320</v>
      </c>
      <c r="O51" s="11" t="s">
        <v>320</v>
      </c>
      <c r="P51" s="11" t="s">
        <v>320</v>
      </c>
      <c r="Q51" s="11" t="s">
        <v>320</v>
      </c>
      <c r="R51" s="11" t="s">
        <v>320</v>
      </c>
      <c r="S51" s="11" t="s">
        <v>320</v>
      </c>
      <c r="T51" s="11" t="s">
        <v>320</v>
      </c>
      <c r="U51" s="11" t="s">
        <v>320</v>
      </c>
      <c r="V51" s="11" t="s">
        <v>320</v>
      </c>
      <c r="W51" s="11" t="s">
        <v>320</v>
      </c>
      <c r="X51" s="12"/>
      <c r="Y51" s="12"/>
      <c r="Z51" s="12"/>
      <c r="AA51" s="12"/>
    </row>
    <row r="52" spans="1:27" ht="16" x14ac:dyDescent="0.2">
      <c r="A52" s="9" t="s">
        <v>328</v>
      </c>
      <c r="B52" s="10" t="s">
        <v>301</v>
      </c>
      <c r="C52" s="23" t="s">
        <v>339</v>
      </c>
      <c r="D52" s="11" t="s">
        <v>102</v>
      </c>
      <c r="E52" s="11" t="s">
        <v>102</v>
      </c>
      <c r="F52" s="11" t="s">
        <v>102</v>
      </c>
      <c r="G52" s="11" t="s">
        <v>103</v>
      </c>
      <c r="H52" s="17" t="s">
        <v>102</v>
      </c>
      <c r="I52" s="11" t="s">
        <v>320</v>
      </c>
      <c r="J52" s="11" t="s">
        <v>320</v>
      </c>
      <c r="K52" s="11" t="s">
        <v>320</v>
      </c>
      <c r="L52" s="11" t="s">
        <v>320</v>
      </c>
      <c r="M52" s="11" t="s">
        <v>320</v>
      </c>
      <c r="N52" s="11" t="s">
        <v>320</v>
      </c>
      <c r="O52" s="11" t="s">
        <v>320</v>
      </c>
      <c r="P52" s="11" t="s">
        <v>320</v>
      </c>
      <c r="Q52" s="11" t="s">
        <v>320</v>
      </c>
      <c r="R52" s="11" t="s">
        <v>320</v>
      </c>
      <c r="S52" s="11" t="s">
        <v>320</v>
      </c>
      <c r="T52" s="11" t="s">
        <v>320</v>
      </c>
      <c r="U52" s="11" t="s">
        <v>320</v>
      </c>
      <c r="V52" s="11" t="s">
        <v>320</v>
      </c>
      <c r="W52" s="11" t="s">
        <v>320</v>
      </c>
      <c r="X52" s="12"/>
      <c r="Y52" s="12"/>
      <c r="Z52" s="12"/>
      <c r="AA52" s="12"/>
    </row>
    <row r="53" spans="1:27" ht="16" x14ac:dyDescent="0.2">
      <c r="A53" s="9" t="s">
        <v>329</v>
      </c>
      <c r="B53" s="10" t="s">
        <v>302</v>
      </c>
      <c r="C53" s="23" t="s">
        <v>339</v>
      </c>
      <c r="D53" s="11" t="s">
        <v>102</v>
      </c>
      <c r="E53" s="11" t="s">
        <v>102</v>
      </c>
      <c r="F53" s="11" t="s">
        <v>102</v>
      </c>
      <c r="G53" s="11" t="s">
        <v>103</v>
      </c>
      <c r="H53" s="17" t="s">
        <v>102</v>
      </c>
      <c r="I53" s="11" t="s">
        <v>320</v>
      </c>
      <c r="J53" s="11" t="s">
        <v>320</v>
      </c>
      <c r="K53" s="11" t="s">
        <v>320</v>
      </c>
      <c r="L53" s="11" t="s">
        <v>320</v>
      </c>
      <c r="M53" s="11" t="s">
        <v>320</v>
      </c>
      <c r="N53" s="11" t="s">
        <v>320</v>
      </c>
      <c r="O53" s="11" t="s">
        <v>320</v>
      </c>
      <c r="P53" s="11" t="s">
        <v>320</v>
      </c>
      <c r="Q53" s="11" t="s">
        <v>320</v>
      </c>
      <c r="R53" s="11" t="s">
        <v>320</v>
      </c>
      <c r="S53" s="11" t="s">
        <v>320</v>
      </c>
      <c r="T53" s="11" t="s">
        <v>320</v>
      </c>
      <c r="U53" s="11" t="s">
        <v>320</v>
      </c>
      <c r="V53" s="11" t="s">
        <v>320</v>
      </c>
      <c r="W53" s="11" t="s">
        <v>320</v>
      </c>
      <c r="X53" s="12"/>
      <c r="Y53" s="12"/>
      <c r="Z53" s="12"/>
      <c r="AA53" s="12"/>
    </row>
    <row r="54" spans="1:27" ht="16" x14ac:dyDescent="0.2">
      <c r="A54" s="9" t="s">
        <v>330</v>
      </c>
      <c r="B54" s="10" t="s">
        <v>303</v>
      </c>
      <c r="C54" s="23" t="s">
        <v>339</v>
      </c>
      <c r="D54" s="11" t="s">
        <v>102</v>
      </c>
      <c r="E54" s="11" t="s">
        <v>102</v>
      </c>
      <c r="F54" s="11" t="s">
        <v>102</v>
      </c>
      <c r="G54" s="11" t="s">
        <v>103</v>
      </c>
      <c r="H54" s="17" t="s">
        <v>102</v>
      </c>
      <c r="I54" s="11" t="s">
        <v>320</v>
      </c>
      <c r="J54" s="11" t="s">
        <v>341</v>
      </c>
      <c r="K54" s="11" t="s">
        <v>341</v>
      </c>
      <c r="L54" s="11" t="s">
        <v>341</v>
      </c>
      <c r="M54" s="11" t="s">
        <v>320</v>
      </c>
      <c r="N54" s="11" t="s">
        <v>320</v>
      </c>
      <c r="O54" s="11" t="s">
        <v>320</v>
      </c>
      <c r="P54" s="11" t="s">
        <v>320</v>
      </c>
      <c r="Q54" s="11" t="s">
        <v>320</v>
      </c>
      <c r="R54" s="11" t="s">
        <v>320</v>
      </c>
      <c r="S54" s="11" t="s">
        <v>320</v>
      </c>
      <c r="T54" s="11" t="s">
        <v>320</v>
      </c>
      <c r="U54" s="11" t="s">
        <v>320</v>
      </c>
      <c r="V54" s="11" t="s">
        <v>320</v>
      </c>
      <c r="W54" s="11" t="s">
        <v>320</v>
      </c>
      <c r="X54" s="12"/>
      <c r="Y54" s="12"/>
      <c r="Z54" s="12"/>
      <c r="AA54" s="12"/>
    </row>
    <row r="55" spans="1:27" ht="16" x14ac:dyDescent="0.2">
      <c r="A55" s="9" t="s">
        <v>331</v>
      </c>
      <c r="B55" s="10" t="s">
        <v>17</v>
      </c>
      <c r="C55" s="23" t="s">
        <v>339</v>
      </c>
      <c r="D55" s="11" t="s">
        <v>102</v>
      </c>
      <c r="E55" s="11" t="s">
        <v>102</v>
      </c>
      <c r="F55" s="11" t="s">
        <v>102</v>
      </c>
      <c r="G55" s="11" t="s">
        <v>103</v>
      </c>
      <c r="H55" s="17" t="s">
        <v>102</v>
      </c>
      <c r="I55" s="11" t="s">
        <v>320</v>
      </c>
      <c r="J55" s="11" t="s">
        <v>341</v>
      </c>
      <c r="K55" s="11" t="s">
        <v>341</v>
      </c>
      <c r="L55" s="11" t="s">
        <v>341</v>
      </c>
      <c r="M55" s="11" t="s">
        <v>341</v>
      </c>
      <c r="N55" s="11" t="s">
        <v>320</v>
      </c>
      <c r="O55" s="11" t="s">
        <v>320</v>
      </c>
      <c r="P55" s="11" t="s">
        <v>320</v>
      </c>
      <c r="Q55" s="11" t="s">
        <v>320</v>
      </c>
      <c r="R55" s="11" t="s">
        <v>320</v>
      </c>
      <c r="S55" s="11" t="s">
        <v>320</v>
      </c>
      <c r="T55" s="11" t="s">
        <v>320</v>
      </c>
      <c r="U55" s="11" t="s">
        <v>320</v>
      </c>
      <c r="V55" s="11" t="s">
        <v>320</v>
      </c>
      <c r="W55" s="11" t="s">
        <v>320</v>
      </c>
      <c r="X55" s="12"/>
      <c r="Y55" s="12"/>
      <c r="Z55" s="12"/>
      <c r="AA55" s="12"/>
    </row>
    <row r="56" spans="1:27" ht="16" x14ac:dyDescent="0.2">
      <c r="A56" s="9" t="s">
        <v>332</v>
      </c>
      <c r="B56" s="10" t="s">
        <v>304</v>
      </c>
      <c r="C56" s="23" t="s">
        <v>339</v>
      </c>
      <c r="D56" s="11" t="s">
        <v>102</v>
      </c>
      <c r="E56" s="11" t="s">
        <v>102</v>
      </c>
      <c r="F56" s="11" t="s">
        <v>102</v>
      </c>
      <c r="G56" s="11" t="s">
        <v>103</v>
      </c>
      <c r="H56" s="17" t="s">
        <v>102</v>
      </c>
      <c r="I56" s="11" t="s">
        <v>320</v>
      </c>
      <c r="J56" s="11" t="s">
        <v>320</v>
      </c>
      <c r="K56" s="11" t="s">
        <v>320</v>
      </c>
      <c r="L56" s="11" t="s">
        <v>320</v>
      </c>
      <c r="M56" s="11" t="s">
        <v>320</v>
      </c>
      <c r="N56" s="11" t="s">
        <v>320</v>
      </c>
      <c r="O56" s="11" t="s">
        <v>320</v>
      </c>
      <c r="P56" s="11" t="s">
        <v>320</v>
      </c>
      <c r="Q56" s="11" t="s">
        <v>320</v>
      </c>
      <c r="R56" s="11" t="s">
        <v>320</v>
      </c>
      <c r="S56" s="11" t="s">
        <v>320</v>
      </c>
      <c r="T56" s="11" t="s">
        <v>320</v>
      </c>
      <c r="U56" s="11" t="s">
        <v>320</v>
      </c>
      <c r="V56" s="11" t="s">
        <v>320</v>
      </c>
      <c r="W56" s="11" t="s">
        <v>320</v>
      </c>
      <c r="X56" s="12"/>
      <c r="Y56" s="12"/>
      <c r="Z56" s="12"/>
      <c r="AA56" s="12"/>
    </row>
    <row r="57" spans="1:27" x14ac:dyDescent="0.2">
      <c r="A57" s="9"/>
      <c r="B57" s="10"/>
      <c r="C57" s="23"/>
      <c r="E57" s="11"/>
      <c r="F57" s="11"/>
      <c r="G57" s="11"/>
      <c r="H57" s="17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/>
      <c r="Y57" s="12"/>
      <c r="Z57" s="12"/>
      <c r="AA57" s="12"/>
    </row>
    <row r="58" spans="1:27" ht="16" x14ac:dyDescent="0.2">
      <c r="A58" s="9"/>
      <c r="B58" s="10" t="s">
        <v>346</v>
      </c>
      <c r="C58" s="23"/>
      <c r="E58" s="11"/>
      <c r="F58" s="11"/>
      <c r="G58" s="11"/>
      <c r="H58" s="17"/>
      <c r="I58" s="16" t="s">
        <v>387</v>
      </c>
      <c r="J58" s="11">
        <v>81.319999999999993</v>
      </c>
      <c r="K58" s="11">
        <v>67.97</v>
      </c>
      <c r="L58" s="11">
        <v>33.049999999999997</v>
      </c>
      <c r="M58" s="11">
        <v>55.13</v>
      </c>
      <c r="N58" s="11">
        <v>34.44</v>
      </c>
      <c r="O58" s="11">
        <v>17.04</v>
      </c>
      <c r="P58" s="11">
        <v>11.31</v>
      </c>
      <c r="Q58" s="16">
        <v>82.35</v>
      </c>
      <c r="R58" s="11">
        <v>71.25</v>
      </c>
      <c r="S58" s="11">
        <v>52.79</v>
      </c>
      <c r="T58" s="11">
        <v>52.79</v>
      </c>
      <c r="U58" s="11">
        <v>46.98</v>
      </c>
      <c r="V58" s="11">
        <v>19.04</v>
      </c>
      <c r="W58" s="11">
        <v>11.52</v>
      </c>
      <c r="X58" s="12"/>
      <c r="Y58" s="12"/>
      <c r="Z58" s="12"/>
      <c r="AA58" s="12"/>
    </row>
    <row r="59" spans="1:27" ht="16" x14ac:dyDescent="0.2">
      <c r="A59" s="9"/>
      <c r="B59" s="10" t="s">
        <v>99</v>
      </c>
      <c r="C59" s="23"/>
      <c r="E59" s="11"/>
      <c r="F59" s="11"/>
      <c r="G59" s="11"/>
      <c r="H59" s="17"/>
      <c r="I59" s="11" t="s">
        <v>387</v>
      </c>
      <c r="J59" s="11" t="b">
        <v>1</v>
      </c>
      <c r="K59" s="11" t="b">
        <v>1</v>
      </c>
      <c r="L59" s="11" t="b">
        <v>1</v>
      </c>
      <c r="M59" s="11" t="b">
        <v>1</v>
      </c>
      <c r="N59" s="11" t="b">
        <v>1</v>
      </c>
      <c r="O59" s="11" t="b">
        <v>1</v>
      </c>
      <c r="P59" s="11" t="b">
        <v>1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2"/>
      <c r="Y59" s="12"/>
      <c r="Z59" s="12"/>
      <c r="AA59" s="12"/>
    </row>
    <row r="60" spans="1:27" ht="16" x14ac:dyDescent="0.2">
      <c r="A60" s="9"/>
      <c r="B60" s="10" t="s">
        <v>347</v>
      </c>
      <c r="C60" s="23"/>
      <c r="E60" s="11"/>
      <c r="F60" s="11"/>
      <c r="G60" s="11"/>
      <c r="H60" s="17"/>
      <c r="I60" s="11" t="s">
        <v>387</v>
      </c>
      <c r="J60" s="11">
        <v>74.22</v>
      </c>
      <c r="K60" s="11">
        <v>43.21</v>
      </c>
      <c r="L60" s="11">
        <v>6.56</v>
      </c>
      <c r="M60" s="11">
        <v>2.1800000000000002</v>
      </c>
      <c r="N60" s="11">
        <v>1.74</v>
      </c>
      <c r="O60" s="11">
        <v>0.34</v>
      </c>
      <c r="P60" s="11">
        <v>0.26</v>
      </c>
      <c r="Q60" s="11">
        <v>51.75</v>
      </c>
      <c r="R60" s="11">
        <v>18.760000000000002</v>
      </c>
      <c r="S60" s="11">
        <v>6.75</v>
      </c>
      <c r="T60" s="11">
        <v>2.59</v>
      </c>
      <c r="U60" s="11">
        <v>2.6</v>
      </c>
      <c r="V60" s="11">
        <v>0.43</v>
      </c>
      <c r="W60" s="11">
        <v>0.26</v>
      </c>
      <c r="X60" s="12"/>
      <c r="Y60" s="12"/>
      <c r="Z60" s="12"/>
      <c r="AA60" s="12"/>
    </row>
    <row r="61" spans="1:27" ht="16" x14ac:dyDescent="0.2">
      <c r="A61" s="9"/>
      <c r="B61" s="10" t="s">
        <v>101</v>
      </c>
      <c r="C61" s="23"/>
      <c r="E61" s="11"/>
      <c r="F61" s="11"/>
      <c r="G61" s="11"/>
      <c r="H61" s="17"/>
      <c r="I61" s="11" t="s">
        <v>387</v>
      </c>
      <c r="J61" s="11" t="b">
        <v>1</v>
      </c>
      <c r="K61" s="11" t="b">
        <v>1</v>
      </c>
      <c r="L61" s="11" t="b">
        <v>1</v>
      </c>
      <c r="M61" s="11" t="b">
        <v>1</v>
      </c>
      <c r="N61" s="11" t="b">
        <v>1</v>
      </c>
      <c r="O61" s="11" t="b">
        <v>1</v>
      </c>
      <c r="P61" s="11" t="b">
        <v>1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2"/>
      <c r="Y61" s="12"/>
      <c r="Z61" s="12"/>
      <c r="AA61" s="12"/>
    </row>
    <row r="62" spans="1:27" ht="16" x14ac:dyDescent="0.2">
      <c r="A62" s="9"/>
      <c r="B62" s="10" t="s">
        <v>348</v>
      </c>
      <c r="C62" s="23"/>
      <c r="E62" s="11"/>
      <c r="F62" s="11"/>
      <c r="G62" s="11"/>
      <c r="H62" s="17"/>
      <c r="I62" s="11" t="s">
        <v>387</v>
      </c>
      <c r="J62" s="11" t="s">
        <v>379</v>
      </c>
      <c r="K62" s="11" t="s">
        <v>380</v>
      </c>
      <c r="L62" s="11" t="s">
        <v>381</v>
      </c>
      <c r="M62" s="11" t="s">
        <v>382</v>
      </c>
      <c r="N62" s="11" t="s">
        <v>383</v>
      </c>
      <c r="O62" s="11" t="s">
        <v>384</v>
      </c>
      <c r="P62" s="11" t="s">
        <v>385</v>
      </c>
      <c r="Q62" s="11" t="s">
        <v>379</v>
      </c>
      <c r="R62" s="11" t="s">
        <v>380</v>
      </c>
      <c r="S62" s="11" t="s">
        <v>381</v>
      </c>
      <c r="T62" s="11" t="s">
        <v>382</v>
      </c>
      <c r="U62" s="11" t="s">
        <v>383</v>
      </c>
      <c r="V62" s="11" t="s">
        <v>384</v>
      </c>
      <c r="W62" s="11" t="s">
        <v>385</v>
      </c>
      <c r="X62" s="12"/>
      <c r="Y62" s="12"/>
      <c r="Z62" s="12"/>
      <c r="AA62" s="12"/>
    </row>
    <row r="63" spans="1:27" ht="16" x14ac:dyDescent="0.2">
      <c r="A63" s="9"/>
      <c r="B63" s="10" t="s">
        <v>349</v>
      </c>
      <c r="C63" s="23"/>
      <c r="E63" s="11"/>
      <c r="F63" s="11"/>
      <c r="G63" s="11"/>
      <c r="H63" s="17"/>
      <c r="I63" s="11" t="s">
        <v>387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1</v>
      </c>
      <c r="R63" s="11" t="b">
        <v>1</v>
      </c>
      <c r="S63" s="11" t="b">
        <v>1</v>
      </c>
      <c r="T63" s="11" t="b">
        <v>1</v>
      </c>
      <c r="U63" s="11" t="b">
        <v>1</v>
      </c>
      <c r="V63" s="11" t="b">
        <v>1</v>
      </c>
      <c r="W63" s="11" t="b">
        <v>1</v>
      </c>
      <c r="X63" s="12"/>
      <c r="Y63" s="12"/>
      <c r="Z63" s="12"/>
      <c r="AA63" s="12"/>
    </row>
    <row r="64" spans="1:27" x14ac:dyDescent="0.2">
      <c r="U64" s="12"/>
      <c r="V64" s="12"/>
      <c r="W64" s="12"/>
      <c r="X64" s="12"/>
      <c r="Y64" s="12"/>
      <c r="Z64" s="12"/>
      <c r="AA64" s="12"/>
    </row>
    <row r="65" spans="21:27" x14ac:dyDescent="0.2">
      <c r="U65" s="12"/>
      <c r="V65" s="12"/>
      <c r="W65" s="12"/>
      <c r="X65" s="12"/>
      <c r="Y65" s="12"/>
      <c r="Z65" s="12"/>
      <c r="AA65" s="12"/>
    </row>
    <row r="66" spans="21:27" x14ac:dyDescent="0.2">
      <c r="U66" s="12"/>
      <c r="V66" s="12"/>
      <c r="W66" s="12"/>
      <c r="X66" s="12"/>
      <c r="Y66" s="12"/>
      <c r="Z66" s="12"/>
      <c r="AA66" s="12"/>
    </row>
    <row r="67" spans="21:27" x14ac:dyDescent="0.2">
      <c r="U67" s="12"/>
      <c r="V67" s="12"/>
      <c r="W67" s="12"/>
      <c r="X67" s="12"/>
      <c r="Y67" s="12"/>
      <c r="Z67" s="12"/>
      <c r="AA67" s="12"/>
    </row>
  </sheetData>
  <phoneticPr fontId="2" type="noConversion"/>
  <conditionalFormatting sqref="A9:W15 A17:W17">
    <cfRule type="expression" dxfId="1" priority="3">
      <formula>A$8="No"</formula>
    </cfRule>
  </conditionalFormatting>
  <conditionalFormatting sqref="A26:W42">
    <cfRule type="expression" dxfId="0" priority="7">
      <formula>A$25="No"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45B6-2F73-1246-8596-5A0FAE6B734B}">
  <dimension ref="A1:F15"/>
  <sheetViews>
    <sheetView workbookViewId="0">
      <selection activeCell="F1" sqref="F1:F15"/>
    </sheetView>
  </sheetViews>
  <sheetFormatPr baseColWidth="10" defaultRowHeight="15" x14ac:dyDescent="0.2"/>
  <cols>
    <col min="1" max="1" width="15.6640625" customWidth="1"/>
  </cols>
  <sheetData>
    <row r="1" spans="1:6" x14ac:dyDescent="0.2">
      <c r="A1" s="25" t="s">
        <v>396</v>
      </c>
      <c r="F1" s="26" t="s">
        <v>344</v>
      </c>
    </row>
    <row r="2" spans="1:6" x14ac:dyDescent="0.2">
      <c r="A2" t="s">
        <v>392</v>
      </c>
      <c r="F2" s="26" t="s">
        <v>350</v>
      </c>
    </row>
    <row r="3" spans="1:6" x14ac:dyDescent="0.2">
      <c r="A3" t="s">
        <v>395</v>
      </c>
      <c r="F3" s="26" t="s">
        <v>351</v>
      </c>
    </row>
    <row r="4" spans="1:6" x14ac:dyDescent="0.2">
      <c r="A4" t="s">
        <v>393</v>
      </c>
      <c r="F4" s="26" t="s">
        <v>352</v>
      </c>
    </row>
    <row r="5" spans="1:6" x14ac:dyDescent="0.2">
      <c r="A5" t="s">
        <v>394</v>
      </c>
      <c r="F5" s="26" t="s">
        <v>353</v>
      </c>
    </row>
    <row r="6" spans="1:6" x14ac:dyDescent="0.2">
      <c r="F6" s="26" t="s">
        <v>354</v>
      </c>
    </row>
    <row r="7" spans="1:6" x14ac:dyDescent="0.2">
      <c r="F7" s="26" t="s">
        <v>355</v>
      </c>
    </row>
    <row r="8" spans="1:6" x14ac:dyDescent="0.2">
      <c r="F8" s="26" t="s">
        <v>356</v>
      </c>
    </row>
    <row r="9" spans="1:6" x14ac:dyDescent="0.2">
      <c r="F9" s="26" t="s">
        <v>357</v>
      </c>
    </row>
    <row r="10" spans="1:6" x14ac:dyDescent="0.2">
      <c r="F10" s="26" t="s">
        <v>358</v>
      </c>
    </row>
    <row r="11" spans="1:6" x14ac:dyDescent="0.2">
      <c r="F11" s="26" t="s">
        <v>359</v>
      </c>
    </row>
    <row r="12" spans="1:6" x14ac:dyDescent="0.2">
      <c r="F12" s="26" t="s">
        <v>360</v>
      </c>
    </row>
    <row r="13" spans="1:6" x14ac:dyDescent="0.2">
      <c r="F13" s="26" t="s">
        <v>361</v>
      </c>
    </row>
    <row r="14" spans="1:6" x14ac:dyDescent="0.2">
      <c r="F14" s="26" t="s">
        <v>362</v>
      </c>
    </row>
    <row r="15" spans="1:6" x14ac:dyDescent="0.2">
      <c r="F15" s="26" t="s">
        <v>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FA8A-FDCF-457B-9547-0B10EAC6AC6E}">
  <dimension ref="A1:K26"/>
  <sheetViews>
    <sheetView topLeftCell="A23" workbookViewId="0">
      <selection activeCell="I26" sqref="I26"/>
    </sheetView>
  </sheetViews>
  <sheetFormatPr baseColWidth="10" defaultColWidth="8.83203125" defaultRowHeight="15" x14ac:dyDescent="0.2"/>
  <sheetData>
    <row r="1" spans="1:11" x14ac:dyDescent="0.2">
      <c r="A1" t="s">
        <v>306</v>
      </c>
    </row>
    <row r="8" spans="1:11" x14ac:dyDescent="0.2">
      <c r="J8">
        <v>60</v>
      </c>
    </row>
    <row r="9" spans="1:11" x14ac:dyDescent="0.2">
      <c r="A9" t="s">
        <v>307</v>
      </c>
    </row>
    <row r="10" spans="1:11" x14ac:dyDescent="0.2">
      <c r="A10" t="s">
        <v>308</v>
      </c>
      <c r="J10">
        <v>-6.4523656449328698E-2</v>
      </c>
      <c r="K10" t="e">
        <f>POWER(+Age,1) * J10</f>
        <v>#NAME?</v>
      </c>
    </row>
    <row r="11" spans="1:11" x14ac:dyDescent="0.2">
      <c r="A11" t="s">
        <v>309</v>
      </c>
      <c r="J11">
        <v>4.6446967727769998E-4</v>
      </c>
      <c r="K11" t="e">
        <f>POWER(+Age,1) * J11</f>
        <v>#NAME?</v>
      </c>
    </row>
    <row r="12" spans="1:11" x14ac:dyDescent="0.2">
      <c r="A12" t="s">
        <v>310</v>
      </c>
    </row>
    <row r="13" spans="1:11" x14ac:dyDescent="0.2">
      <c r="A13" t="s">
        <v>311</v>
      </c>
    </row>
    <row r="14" spans="1:11" x14ac:dyDescent="0.2">
      <c r="A14" t="s">
        <v>309</v>
      </c>
      <c r="K14" t="e">
        <f>+K11+K10</f>
        <v>#NAME?</v>
      </c>
    </row>
    <row r="15" spans="1:11" x14ac:dyDescent="0.2">
      <c r="A15" t="s">
        <v>312</v>
      </c>
    </row>
    <row r="16" spans="1:11" x14ac:dyDescent="0.2">
      <c r="A16" t="s">
        <v>313</v>
      </c>
    </row>
    <row r="17" spans="1:1" x14ac:dyDescent="0.2">
      <c r="A17" t="s">
        <v>309</v>
      </c>
    </row>
    <row r="18" spans="1:1" x14ac:dyDescent="0.2">
      <c r="A18" t="s">
        <v>314</v>
      </c>
    </row>
    <row r="19" spans="1:1" x14ac:dyDescent="0.2">
      <c r="A19" t="s">
        <v>315</v>
      </c>
    </row>
    <row r="20" spans="1:1" x14ac:dyDescent="0.2">
      <c r="A20" t="s">
        <v>309</v>
      </c>
    </row>
    <row r="23" spans="1:1" x14ac:dyDescent="0.2">
      <c r="A23" t="s">
        <v>316</v>
      </c>
    </row>
    <row r="24" spans="1:1" x14ac:dyDescent="0.2">
      <c r="A24" t="s">
        <v>317</v>
      </c>
    </row>
    <row r="25" spans="1:1" x14ac:dyDescent="0.2">
      <c r="A25" t="s">
        <v>318</v>
      </c>
    </row>
    <row r="26" spans="1:1" x14ac:dyDescent="0.2">
      <c r="A26" t="s">
        <v>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4558-BC56-4490-BC9C-536AF1B83C09}">
  <dimension ref="A1:J90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0.83203125" defaultRowHeight="15" x14ac:dyDescent="0.2"/>
  <cols>
    <col min="1" max="1" width="27.6640625" customWidth="1"/>
    <col min="2" max="2" width="12.6640625" bestFit="1" customWidth="1"/>
    <col min="3" max="3" width="12.6640625" customWidth="1"/>
    <col min="4" max="5" width="12.6640625" bestFit="1" customWidth="1"/>
    <col min="6" max="6" width="14.33203125" bestFit="1" customWidth="1"/>
    <col min="7" max="7" width="18.5" bestFit="1" customWidth="1"/>
    <col min="9" max="9" width="37" bestFit="1" customWidth="1"/>
  </cols>
  <sheetData>
    <row r="1" spans="1:10" x14ac:dyDescent="0.2">
      <c r="A1" t="s">
        <v>161</v>
      </c>
      <c r="B1" t="s">
        <v>162</v>
      </c>
      <c r="C1" t="s">
        <v>163</v>
      </c>
      <c r="D1" t="s">
        <v>165</v>
      </c>
      <c r="E1" t="s">
        <v>164</v>
      </c>
      <c r="F1" t="s">
        <v>166</v>
      </c>
      <c r="G1" t="s">
        <v>167</v>
      </c>
      <c r="H1" t="s">
        <v>200</v>
      </c>
      <c r="I1" t="s">
        <v>201</v>
      </c>
      <c r="J1" t="s">
        <v>212</v>
      </c>
    </row>
    <row r="2" spans="1:10" x14ac:dyDescent="0.2">
      <c r="A2" t="s">
        <v>168</v>
      </c>
      <c r="B2">
        <v>-0.14242846033854101</v>
      </c>
      <c r="C2">
        <v>-0.10447723976361201</v>
      </c>
      <c r="D2">
        <v>-0.110202179628585</v>
      </c>
      <c r="E2">
        <v>-6.4523656449328698E-2</v>
      </c>
      <c r="F2">
        <v>-3.5211251525685001E-2</v>
      </c>
      <c r="G2">
        <v>-3.4386112506041101E-2</v>
      </c>
      <c r="H2" t="str">
        <f t="shared" ref="H2:H33" si="0">IF(OR(G2=0,F2=0,E2=0,D2=0,C2=0,B2=0)=TRUE,"Y","N")</f>
        <v>N</v>
      </c>
      <c r="I2" t="s">
        <v>202</v>
      </c>
    </row>
    <row r="3" spans="1:10" x14ac:dyDescent="0.2">
      <c r="A3" t="s">
        <v>169</v>
      </c>
      <c r="B3">
        <v>1.1000413899150999E-3</v>
      </c>
      <c r="C3">
        <v>8.6061543657760004E-4</v>
      </c>
      <c r="D3">
        <v>6.7267234438579996E-4</v>
      </c>
      <c r="E3">
        <v>4.6446967727769998E-4</v>
      </c>
      <c r="F3">
        <v>-2.1014600362669999E-4</v>
      </c>
      <c r="G3">
        <v>-2.0606939390629999E-4</v>
      </c>
      <c r="H3" t="str">
        <f t="shared" si="0"/>
        <v>N</v>
      </c>
      <c r="I3" t="s">
        <v>202</v>
      </c>
    </row>
    <row r="4" spans="1:10" x14ac:dyDescent="0.2">
      <c r="A4" t="s">
        <v>104</v>
      </c>
      <c r="B4">
        <v>1.98538471606E-5</v>
      </c>
      <c r="C4">
        <v>1.3815779629E-5</v>
      </c>
      <c r="D4">
        <v>1.38719445957E-5</v>
      </c>
      <c r="E4">
        <v>0</v>
      </c>
      <c r="F4">
        <v>0</v>
      </c>
      <c r="G4">
        <v>0</v>
      </c>
      <c r="H4" t="str">
        <f t="shared" si="0"/>
        <v>Y</v>
      </c>
      <c r="I4" t="s">
        <v>205</v>
      </c>
    </row>
    <row r="5" spans="1:10" x14ac:dyDescent="0.2">
      <c r="A5" t="s">
        <v>105</v>
      </c>
      <c r="B5">
        <v>-2.6489183350000002E-7</v>
      </c>
      <c r="C5">
        <v>-1.9601543570000001E-7</v>
      </c>
      <c r="D5">
        <v>-1.610775422E-7</v>
      </c>
      <c r="E5">
        <v>0</v>
      </c>
      <c r="F5">
        <v>0</v>
      </c>
      <c r="G5">
        <v>0</v>
      </c>
      <c r="H5" t="str">
        <f t="shared" si="0"/>
        <v>Y</v>
      </c>
      <c r="I5" t="s">
        <v>205</v>
      </c>
    </row>
    <row r="6" spans="1:10" x14ac:dyDescent="0.2">
      <c r="A6" t="s">
        <v>170</v>
      </c>
      <c r="B6">
        <v>-2.9522420071718298</v>
      </c>
      <c r="C6">
        <v>-1.8428145103547799</v>
      </c>
      <c r="D6">
        <v>-2.6880105632202098</v>
      </c>
      <c r="E6">
        <v>-1.4758726209964701</v>
      </c>
      <c r="F6">
        <v>-1.5585515193722499</v>
      </c>
      <c r="G6">
        <v>-1.6097486564970001</v>
      </c>
      <c r="H6" t="str">
        <f t="shared" si="0"/>
        <v>N</v>
      </c>
      <c r="I6" t="s">
        <v>202</v>
      </c>
    </row>
    <row r="7" spans="1:10" x14ac:dyDescent="0.2">
      <c r="A7" t="s">
        <v>171</v>
      </c>
      <c r="B7">
        <v>-1.7501451668922599E-2</v>
      </c>
      <c r="C7">
        <v>-1.51569773369266E-2</v>
      </c>
      <c r="D7">
        <v>-9.7677485919971992E-3</v>
      </c>
      <c r="E7">
        <v>-1.06819944976555E-2</v>
      </c>
      <c r="F7">
        <v>-1.9430779754092901E-2</v>
      </c>
      <c r="G7">
        <v>-2.1593188150755099E-2</v>
      </c>
      <c r="H7" t="str">
        <f t="shared" si="0"/>
        <v>N</v>
      </c>
      <c r="I7" t="s">
        <v>202</v>
      </c>
    </row>
    <row r="8" spans="1:10" x14ac:dyDescent="0.2">
      <c r="A8" t="s">
        <v>172</v>
      </c>
      <c r="B8">
        <v>1.6253469072340001E-4</v>
      </c>
      <c r="C8">
        <v>-5.1705710495400002E-5</v>
      </c>
      <c r="D8">
        <v>1.26702732348E-4</v>
      </c>
      <c r="E8">
        <v>-2.2003391043399999E-5</v>
      </c>
      <c r="F8">
        <v>-2.4138594104899999E-5</v>
      </c>
      <c r="G8">
        <v>-5.3957408778299999E-5</v>
      </c>
      <c r="H8" t="str">
        <f t="shared" si="0"/>
        <v>N</v>
      </c>
      <c r="I8" t="s">
        <v>202</v>
      </c>
    </row>
    <row r="9" spans="1:10" x14ac:dyDescent="0.2">
      <c r="A9" t="s">
        <v>106</v>
      </c>
      <c r="B9">
        <v>3.6452413049999999E-7</v>
      </c>
      <c r="C9">
        <v>-7.5873371910000003E-7</v>
      </c>
      <c r="D9">
        <v>-6.0949267950000002E-7</v>
      </c>
      <c r="E9">
        <v>-3.141984277E-7</v>
      </c>
      <c r="F9">
        <v>0</v>
      </c>
      <c r="G9">
        <v>0</v>
      </c>
      <c r="H9" t="str">
        <f t="shared" si="0"/>
        <v>Y</v>
      </c>
      <c r="I9" t="s">
        <v>205</v>
      </c>
    </row>
    <row r="10" spans="1:10" x14ac:dyDescent="0.2">
      <c r="A10" t="s">
        <v>107</v>
      </c>
      <c r="B10">
        <v>-7.4622058800000004E-8</v>
      </c>
      <c r="C10">
        <v>2.0305315499999999E-8</v>
      </c>
      <c r="D10">
        <v>-7.1341586200000002E-8</v>
      </c>
      <c r="E10">
        <v>-1.74402455E-8</v>
      </c>
      <c r="F10">
        <v>0</v>
      </c>
      <c r="G10">
        <v>0</v>
      </c>
      <c r="H10" t="str">
        <f t="shared" si="0"/>
        <v>Y</v>
      </c>
      <c r="I10" t="s">
        <v>205</v>
      </c>
    </row>
    <row r="11" spans="1:10" x14ac:dyDescent="0.2">
      <c r="A11" t="s">
        <v>173</v>
      </c>
      <c r="B11">
        <v>-0.11007558393677799</v>
      </c>
      <c r="C11">
        <v>0.10980995152008401</v>
      </c>
      <c r="D11">
        <v>-0.171350876457525</v>
      </c>
      <c r="E11">
        <v>7.7028816727510996E-2</v>
      </c>
      <c r="F11">
        <v>8.8180627660727706E-2</v>
      </c>
      <c r="G11">
        <v>0.110262124783647</v>
      </c>
      <c r="H11" t="str">
        <f t="shared" si="0"/>
        <v>N</v>
      </c>
      <c r="I11" t="s">
        <v>202</v>
      </c>
    </row>
    <row r="12" spans="1:10" x14ac:dyDescent="0.2">
      <c r="A12" t="s">
        <v>174</v>
      </c>
      <c r="B12">
        <v>0.58749041726263296</v>
      </c>
      <c r="C12">
        <v>0.89722511171506403</v>
      </c>
      <c r="D12">
        <v>0.52330316437009405</v>
      </c>
      <c r="E12">
        <v>0.83278658984074105</v>
      </c>
      <c r="F12">
        <v>-0.169817158710549</v>
      </c>
      <c r="G12">
        <v>-0.26621212648484299</v>
      </c>
      <c r="H12" t="str">
        <f t="shared" si="0"/>
        <v>N</v>
      </c>
      <c r="I12" t="s">
        <v>202</v>
      </c>
    </row>
    <row r="13" spans="1:10" x14ac:dyDescent="0.2">
      <c r="A13" t="s">
        <v>175</v>
      </c>
      <c r="B13">
        <v>8.8414958679896002E-2</v>
      </c>
      <c r="C13">
        <v>1.20019188396128E-2</v>
      </c>
      <c r="D13">
        <v>0.15537772597420199</v>
      </c>
      <c r="E13">
        <v>0.16058340055520301</v>
      </c>
      <c r="F13">
        <v>0.20156598193072001</v>
      </c>
      <c r="G13">
        <v>0.405987757430537</v>
      </c>
      <c r="H13" t="str">
        <f t="shared" si="0"/>
        <v>N</v>
      </c>
      <c r="I13" t="s">
        <v>202</v>
      </c>
    </row>
    <row r="14" spans="1:10" x14ac:dyDescent="0.2">
      <c r="A14" t="s">
        <v>176</v>
      </c>
      <c r="B14">
        <v>0.16996979810323501</v>
      </c>
      <c r="C14">
        <v>-0.15902847247163501</v>
      </c>
      <c r="D14">
        <v>9.1911574340131405E-2</v>
      </c>
      <c r="E14">
        <v>-0.24900116700526201</v>
      </c>
      <c r="F14">
        <v>-0.48142631387041701</v>
      </c>
      <c r="G14">
        <v>-0.54516604666783397</v>
      </c>
      <c r="H14" t="str">
        <f t="shared" si="0"/>
        <v>N</v>
      </c>
      <c r="I14" t="s">
        <v>202</v>
      </c>
    </row>
    <row r="15" spans="1:10" x14ac:dyDescent="0.2">
      <c r="A15" t="s">
        <v>177</v>
      </c>
      <c r="B15">
        <v>-1.1539549557994799</v>
      </c>
      <c r="C15">
        <v>-0.98750445432634204</v>
      </c>
      <c r="D15">
        <v>-0.84199253287174303</v>
      </c>
      <c r="E15">
        <v>-0.93707352289805401</v>
      </c>
      <c r="F15">
        <v>-2.7570021729546199</v>
      </c>
      <c r="G15">
        <v>-2.54378150425616</v>
      </c>
      <c r="H15" t="str">
        <f t="shared" si="0"/>
        <v>N</v>
      </c>
      <c r="I15" t="s">
        <v>202</v>
      </c>
    </row>
    <row r="16" spans="1:10" x14ac:dyDescent="0.2">
      <c r="A16" t="s">
        <v>178</v>
      </c>
      <c r="B16">
        <v>0.32548550429616102</v>
      </c>
      <c r="C16">
        <v>0.35119237076465898</v>
      </c>
      <c r="D16">
        <v>0.23677768567945601</v>
      </c>
      <c r="E16">
        <v>0.332310036782829</v>
      </c>
      <c r="F16">
        <v>0.36192992451390399</v>
      </c>
      <c r="G16">
        <v>0.414243541008181</v>
      </c>
      <c r="H16" t="str">
        <f t="shared" si="0"/>
        <v>N</v>
      </c>
      <c r="I16" t="s">
        <v>202</v>
      </c>
    </row>
    <row r="17" spans="1:9" x14ac:dyDescent="0.2">
      <c r="A17" t="s">
        <v>179</v>
      </c>
      <c r="B17">
        <v>0.20602480432279999</v>
      </c>
      <c r="C17">
        <v>0.15218584279080799</v>
      </c>
      <c r="D17">
        <v>0.22244273597828601</v>
      </c>
      <c r="E17">
        <v>0.19180965747398099</v>
      </c>
      <c r="F17">
        <v>0.28365400461967699</v>
      </c>
      <c r="G17">
        <v>0.210475686624578</v>
      </c>
      <c r="H17" t="str">
        <f t="shared" si="0"/>
        <v>N</v>
      </c>
      <c r="I17" t="s">
        <v>202</v>
      </c>
    </row>
    <row r="18" spans="1:9" x14ac:dyDescent="0.2">
      <c r="A18" t="s">
        <v>180</v>
      </c>
      <c r="B18">
        <v>-0.119211282701221</v>
      </c>
      <c r="C18">
        <v>-3.2926198476617998E-3</v>
      </c>
      <c r="D18">
        <v>-0.17770501976606601</v>
      </c>
      <c r="E18">
        <v>4.4272788429087301E-2</v>
      </c>
      <c r="F18">
        <v>0.34905826404493001</v>
      </c>
      <c r="G18">
        <v>7.1917418081153497E-2</v>
      </c>
      <c r="H18" t="str">
        <f t="shared" si="0"/>
        <v>N</v>
      </c>
      <c r="I18" t="s">
        <v>202</v>
      </c>
    </row>
    <row r="19" spans="1:9" x14ac:dyDescent="0.2">
      <c r="A19" t="s">
        <v>181</v>
      </c>
      <c r="B19">
        <v>0.17340541641086599</v>
      </c>
      <c r="C19">
        <v>0.16588202126493101</v>
      </c>
      <c r="D19">
        <v>0.16419221247826399</v>
      </c>
      <c r="E19">
        <v>0.20039288791913501</v>
      </c>
      <c r="F19">
        <v>0.28621410824754501</v>
      </c>
      <c r="G19">
        <v>0.33587201100095898</v>
      </c>
      <c r="H19" t="str">
        <f t="shared" si="0"/>
        <v>N</v>
      </c>
      <c r="I19" t="s">
        <v>202</v>
      </c>
    </row>
    <row r="20" spans="1:9" x14ac:dyDescent="0.2">
      <c r="A20" t="s">
        <v>182</v>
      </c>
      <c r="B20">
        <v>0.111620464721896</v>
      </c>
      <c r="C20">
        <v>-0.93084989612777402</v>
      </c>
      <c r="D20">
        <v>1.75628084853824E-2</v>
      </c>
      <c r="E20">
        <v>-0.99478593042851204</v>
      </c>
      <c r="F20">
        <v>-0.269534814977957</v>
      </c>
      <c r="G20">
        <v>-0.60993507861301999</v>
      </c>
      <c r="H20" t="str">
        <f t="shared" si="0"/>
        <v>N</v>
      </c>
      <c r="I20" t="s">
        <v>202</v>
      </c>
    </row>
    <row r="21" spans="1:9" x14ac:dyDescent="0.2">
      <c r="A21" t="s">
        <v>183</v>
      </c>
      <c r="B21">
        <v>0.155944202809011</v>
      </c>
      <c r="C21">
        <v>0.189290151743428</v>
      </c>
      <c r="D21">
        <v>0.15358798404340601</v>
      </c>
      <c r="E21">
        <v>0.23530480800346201</v>
      </c>
      <c r="F21">
        <v>0.42744029794107802</v>
      </c>
      <c r="G21">
        <v>0.39230432248430203</v>
      </c>
      <c r="H21" t="str">
        <f t="shared" si="0"/>
        <v>N</v>
      </c>
      <c r="I21" t="s">
        <v>202</v>
      </c>
    </row>
    <row r="22" spans="1:9" x14ac:dyDescent="0.2">
      <c r="A22" t="s">
        <v>184</v>
      </c>
      <c r="B22">
        <v>3.8443439303772503E-2</v>
      </c>
      <c r="C22">
        <v>9.9895187496762794E-2</v>
      </c>
      <c r="D22">
        <v>9.7115717952528699E-2</v>
      </c>
      <c r="E22">
        <v>0.18630088324696401</v>
      </c>
      <c r="F22">
        <v>0.17515603154649201</v>
      </c>
      <c r="G22">
        <v>0.13528641162271601</v>
      </c>
      <c r="H22" t="str">
        <f t="shared" si="0"/>
        <v>N</v>
      </c>
      <c r="I22" t="s">
        <v>202</v>
      </c>
    </row>
    <row r="23" spans="1:9" x14ac:dyDescent="0.2">
      <c r="A23" t="s">
        <v>185</v>
      </c>
      <c r="B23">
        <v>-0.468252524851408</v>
      </c>
      <c r="C23">
        <v>-0.42272065439148299</v>
      </c>
      <c r="D23">
        <v>-0.43767072729633499</v>
      </c>
      <c r="E23">
        <v>-0.310067077915746</v>
      </c>
      <c r="F23">
        <v>-0.15156362575929699</v>
      </c>
      <c r="G23">
        <v>0.14601821901148401</v>
      </c>
      <c r="H23" t="str">
        <f t="shared" si="0"/>
        <v>N</v>
      </c>
      <c r="I23" t="s">
        <v>202</v>
      </c>
    </row>
    <row r="24" spans="1:9" x14ac:dyDescent="0.2">
      <c r="A24" t="s">
        <v>186</v>
      </c>
      <c r="B24">
        <v>0.12167599899735</v>
      </c>
      <c r="C24">
        <v>0.37150308254513598</v>
      </c>
      <c r="D24">
        <v>2.5011380360132101E-2</v>
      </c>
      <c r="E24">
        <v>0.302881895872264</v>
      </c>
      <c r="F24">
        <v>0.25439112197367703</v>
      </c>
      <c r="G24">
        <v>0.18485795381207101</v>
      </c>
      <c r="H24" t="str">
        <f t="shared" si="0"/>
        <v>N</v>
      </c>
      <c r="I24" t="s">
        <v>202</v>
      </c>
    </row>
    <row r="25" spans="1:9" x14ac:dyDescent="0.2">
      <c r="A25" t="s">
        <v>187</v>
      </c>
      <c r="B25">
        <v>-4.3998082283018401E-2</v>
      </c>
      <c r="C25">
        <v>-0.184914428055833</v>
      </c>
      <c r="D25">
        <v>7.3036170290105895E-2</v>
      </c>
      <c r="E25">
        <v>-2.19990134288181E-2</v>
      </c>
      <c r="F25">
        <v>8.0523750749076306E-2</v>
      </c>
      <c r="G25">
        <v>0.28528563287437397</v>
      </c>
      <c r="H25" t="str">
        <f t="shared" si="0"/>
        <v>N</v>
      </c>
      <c r="I25" t="s">
        <v>202</v>
      </c>
    </row>
    <row r="26" spans="1:9" x14ac:dyDescent="0.2">
      <c r="A26" t="s">
        <v>188</v>
      </c>
      <c r="B26">
        <v>-0.43479145330304803</v>
      </c>
      <c r="C26">
        <v>-0.36299925206737499</v>
      </c>
      <c r="D26">
        <v>-0.32253321800632601</v>
      </c>
      <c r="E26">
        <v>-0.215055195882386</v>
      </c>
      <c r="F26">
        <v>-9.32918356073765E-2</v>
      </c>
      <c r="G26">
        <v>0.12822379529193101</v>
      </c>
      <c r="H26" t="str">
        <f t="shared" si="0"/>
        <v>N</v>
      </c>
      <c r="I26" t="s">
        <v>202</v>
      </c>
    </row>
    <row r="27" spans="1:9" x14ac:dyDescent="0.2">
      <c r="A27" t="s">
        <v>189</v>
      </c>
      <c r="B27">
        <v>-0.264724530382273</v>
      </c>
      <c r="C27">
        <v>-9.5533974300736499E-2</v>
      </c>
      <c r="D27">
        <v>-0.19691857204240901</v>
      </c>
      <c r="E27">
        <v>-2.4338058405690401E-2</v>
      </c>
      <c r="F27">
        <v>-8.7070078155219097E-2</v>
      </c>
      <c r="G27">
        <v>7.1968149870240194E-2</v>
      </c>
      <c r="H27" t="str">
        <f t="shared" si="0"/>
        <v>N</v>
      </c>
      <c r="I27" t="s">
        <v>202</v>
      </c>
    </row>
    <row r="28" spans="1:9" x14ac:dyDescent="0.2">
      <c r="A28" t="s">
        <v>190</v>
      </c>
      <c r="B28">
        <v>8.5441028882002695E-2</v>
      </c>
      <c r="C28">
        <v>0.356342355096462</v>
      </c>
      <c r="D28">
        <v>6.2972626556902903E-2</v>
      </c>
      <c r="E28">
        <v>0.34864908717923898</v>
      </c>
      <c r="F28">
        <v>-0.102680989477238</v>
      </c>
      <c r="G28">
        <v>-0.16501048510484301</v>
      </c>
      <c r="H28" t="str">
        <f t="shared" si="0"/>
        <v>N</v>
      </c>
      <c r="I28" t="s">
        <v>202</v>
      </c>
    </row>
    <row r="29" spans="1:9" x14ac:dyDescent="0.2">
      <c r="A29" t="s">
        <v>191</v>
      </c>
      <c r="B29">
        <v>2.0410198612186299E-2</v>
      </c>
      <c r="C29">
        <v>-8.7648898169327402E-2</v>
      </c>
      <c r="D29">
        <v>4.9716912817919E-3</v>
      </c>
      <c r="E29">
        <v>-2.2646228892085899E-2</v>
      </c>
      <c r="F29">
        <v>0.19640466398020701</v>
      </c>
      <c r="G29">
        <v>0.21048189437178699</v>
      </c>
      <c r="H29" t="str">
        <f t="shared" si="0"/>
        <v>N</v>
      </c>
      <c r="I29" t="s">
        <v>202</v>
      </c>
    </row>
    <row r="30" spans="1:9" x14ac:dyDescent="0.2">
      <c r="A30" t="s">
        <v>192</v>
      </c>
      <c r="B30">
        <v>0.46254812391981698</v>
      </c>
      <c r="C30">
        <v>0.26017977587547098</v>
      </c>
      <c r="D30">
        <v>0.428689161915978</v>
      </c>
      <c r="E30">
        <v>0.25708168110914797</v>
      </c>
      <c r="F30">
        <v>-0.12631502610737899</v>
      </c>
      <c r="G30">
        <v>-4.7968924813678003E-2</v>
      </c>
      <c r="H30" t="str">
        <f t="shared" si="0"/>
        <v>N</v>
      </c>
      <c r="I30" t="s">
        <v>202</v>
      </c>
    </row>
    <row r="31" spans="1:9" x14ac:dyDescent="0.2">
      <c r="A31" t="s">
        <v>193</v>
      </c>
      <c r="B31">
        <v>-3.9435704993309302</v>
      </c>
      <c r="C31">
        <v>-1.9009236405977099</v>
      </c>
      <c r="D31">
        <v>-3.39824378336932</v>
      </c>
      <c r="E31">
        <v>-1.84616323808687</v>
      </c>
      <c r="F31">
        <v>-2.3335499201698</v>
      </c>
      <c r="G31">
        <v>-2.2670348499235198</v>
      </c>
      <c r="H31" t="str">
        <f t="shared" si="0"/>
        <v>N</v>
      </c>
      <c r="I31" t="s">
        <v>202</v>
      </c>
    </row>
    <row r="32" spans="1:9" x14ac:dyDescent="0.2">
      <c r="A32" t="s">
        <v>194</v>
      </c>
      <c r="B32">
        <v>-3.0618921204590399</v>
      </c>
      <c r="C32">
        <v>-1.10995084554834</v>
      </c>
      <c r="D32">
        <v>-2.60344581288004</v>
      </c>
      <c r="E32">
        <v>-1.0828982243873899</v>
      </c>
      <c r="F32">
        <v>-1.3616142884911799</v>
      </c>
      <c r="G32">
        <v>-1.1794672663596399</v>
      </c>
      <c r="H32" t="str">
        <f t="shared" si="0"/>
        <v>N</v>
      </c>
      <c r="I32" t="s">
        <v>202</v>
      </c>
    </row>
    <row r="33" spans="1:9" x14ac:dyDescent="0.2">
      <c r="A33" t="s">
        <v>195</v>
      </c>
      <c r="B33">
        <v>-4.2757301284995003E-3</v>
      </c>
      <c r="C33">
        <v>-6.7658067744930999E-3</v>
      </c>
      <c r="D33">
        <v>-3.0262875646805002E-3</v>
      </c>
      <c r="E33">
        <v>-6.8338285932122E-3</v>
      </c>
      <c r="F33">
        <v>-2.5046259001865301E-2</v>
      </c>
      <c r="G33">
        <v>-2.5992075782347999E-2</v>
      </c>
      <c r="H33" t="str">
        <f t="shared" si="0"/>
        <v>N</v>
      </c>
      <c r="I33" t="s">
        <v>202</v>
      </c>
    </row>
    <row r="34" spans="1:9" x14ac:dyDescent="0.2">
      <c r="A34" t="s">
        <v>196</v>
      </c>
      <c r="B34">
        <v>-4.3205183916183401E-2</v>
      </c>
      <c r="C34">
        <v>-5.1794678537746802E-2</v>
      </c>
      <c r="D34">
        <v>-3.1972502871209903E-2</v>
      </c>
      <c r="E34">
        <v>-4.4897815914341797E-2</v>
      </c>
      <c r="F34">
        <v>-0.117956562302911</v>
      </c>
      <c r="G34">
        <v>-9.6764012811658404E-2</v>
      </c>
      <c r="H34" t="str">
        <f t="shared" ref="H34:H65" si="1">IF(OR(G34=0,F34=0,E34=0,D34=0,C34=0,B34=0)=TRUE,"Y","N")</f>
        <v>N</v>
      </c>
      <c r="I34" t="s">
        <v>202</v>
      </c>
    </row>
    <row r="35" spans="1:9" x14ac:dyDescent="0.2">
      <c r="A35" t="s">
        <v>197</v>
      </c>
      <c r="B35">
        <v>-4.2799831584160702E-2</v>
      </c>
      <c r="C35">
        <v>-5.2480832711211699E-2</v>
      </c>
      <c r="D35">
        <v>-3.1141236173441399E-2</v>
      </c>
      <c r="E35">
        <v>-3.6873809313859002E-2</v>
      </c>
      <c r="F35">
        <v>-4.0225607160219702E-2</v>
      </c>
      <c r="G35">
        <v>-0.17129410195457501</v>
      </c>
      <c r="H35" t="str">
        <f t="shared" si="1"/>
        <v>N</v>
      </c>
      <c r="I35" t="s">
        <v>202</v>
      </c>
    </row>
    <row r="36" spans="1:9" x14ac:dyDescent="0.2">
      <c r="A36" t="s">
        <v>108</v>
      </c>
      <c r="B36">
        <v>1.5529830308371699</v>
      </c>
      <c r="C36">
        <v>0</v>
      </c>
      <c r="D36">
        <v>1.2454052304469601</v>
      </c>
      <c r="E36">
        <v>0</v>
      </c>
      <c r="F36">
        <v>0</v>
      </c>
      <c r="G36">
        <v>0</v>
      </c>
      <c r="H36" t="str">
        <f t="shared" si="1"/>
        <v>Y</v>
      </c>
      <c r="I36" t="s">
        <v>206</v>
      </c>
    </row>
    <row r="37" spans="1:9" x14ac:dyDescent="0.2">
      <c r="A37" t="s">
        <v>109</v>
      </c>
      <c r="B37">
        <v>1.0198030712419599</v>
      </c>
      <c r="C37">
        <v>0</v>
      </c>
      <c r="D37">
        <v>0.829951359317464</v>
      </c>
      <c r="E37">
        <v>0</v>
      </c>
      <c r="F37">
        <v>0</v>
      </c>
      <c r="G37">
        <v>0</v>
      </c>
      <c r="H37" t="str">
        <f t="shared" si="1"/>
        <v>Y</v>
      </c>
      <c r="I37" t="s">
        <v>206</v>
      </c>
    </row>
    <row r="38" spans="1:9" x14ac:dyDescent="0.2">
      <c r="A38" t="s">
        <v>110</v>
      </c>
      <c r="B38">
        <v>0.12933496824590501</v>
      </c>
      <c r="C38">
        <v>0</v>
      </c>
      <c r="D38">
        <v>8.01894262854395E-2</v>
      </c>
      <c r="E38">
        <v>0</v>
      </c>
      <c r="F38">
        <v>0</v>
      </c>
      <c r="G38">
        <v>0</v>
      </c>
      <c r="H38" t="str">
        <f t="shared" si="1"/>
        <v>Y</v>
      </c>
      <c r="I38" t="s">
        <v>206</v>
      </c>
    </row>
    <row r="39" spans="1:9" x14ac:dyDescent="0.2">
      <c r="A39" t="s">
        <v>111</v>
      </c>
      <c r="B39">
        <v>-3.9439197041062003E-2</v>
      </c>
      <c r="C39">
        <v>0</v>
      </c>
      <c r="D39">
        <v>-4.3001810960291799E-2</v>
      </c>
      <c r="E39">
        <v>0</v>
      </c>
      <c r="F39">
        <v>0</v>
      </c>
      <c r="G39">
        <v>0</v>
      </c>
      <c r="H39" t="str">
        <f t="shared" si="1"/>
        <v>Y</v>
      </c>
      <c r="I39" t="s">
        <v>206</v>
      </c>
    </row>
    <row r="40" spans="1:9" x14ac:dyDescent="0.2">
      <c r="A40" t="s">
        <v>198</v>
      </c>
      <c r="B40">
        <v>-7.6208622316962404E-2</v>
      </c>
      <c r="C40">
        <v>-7.3627004774940996E-2</v>
      </c>
      <c r="D40">
        <v>-5.3118038390531197E-2</v>
      </c>
      <c r="E40">
        <v>-5.2739620661663197E-2</v>
      </c>
      <c r="F40">
        <v>-3.1854841123839399E-2</v>
      </c>
      <c r="G40">
        <v>-2.9248960074744E-2</v>
      </c>
      <c r="H40" t="str">
        <f t="shared" si="1"/>
        <v>N</v>
      </c>
      <c r="I40" t="s">
        <v>202</v>
      </c>
    </row>
    <row r="41" spans="1:9" x14ac:dyDescent="0.2">
      <c r="A41" t="s">
        <v>199</v>
      </c>
      <c r="B41">
        <v>1.6230134182902E-3</v>
      </c>
      <c r="C41">
        <v>1.5286971037078E-3</v>
      </c>
      <c r="D41">
        <v>4.0752185304220002E-4</v>
      </c>
      <c r="E41">
        <v>4.145060463894E-4</v>
      </c>
      <c r="F41">
        <v>2.1656880285169999E-4</v>
      </c>
      <c r="G41">
        <v>3.1195156473979999E-4</v>
      </c>
      <c r="H41" t="str">
        <f t="shared" si="1"/>
        <v>N</v>
      </c>
      <c r="I41" t="s">
        <v>202</v>
      </c>
    </row>
    <row r="42" spans="1:9" x14ac:dyDescent="0.2">
      <c r="A42" t="s">
        <v>112</v>
      </c>
      <c r="B42">
        <v>2.2447313538700002E-5</v>
      </c>
      <c r="C42">
        <v>9.5033186151000003E-6</v>
      </c>
      <c r="D42">
        <v>0</v>
      </c>
      <c r="E42">
        <v>0</v>
      </c>
      <c r="F42">
        <v>4.6604929835000003E-6</v>
      </c>
      <c r="G42">
        <v>2.2269607594E-6</v>
      </c>
      <c r="H42" t="str">
        <f t="shared" si="1"/>
        <v>Y</v>
      </c>
      <c r="I42" t="s">
        <v>205</v>
      </c>
    </row>
    <row r="43" spans="1:9" x14ac:dyDescent="0.2">
      <c r="A43" t="s">
        <v>113</v>
      </c>
      <c r="B43">
        <v>-1.2808638685000001E-6</v>
      </c>
      <c r="C43">
        <v>-8.8604330910000002E-7</v>
      </c>
      <c r="D43">
        <v>0</v>
      </c>
      <c r="E43">
        <v>0</v>
      </c>
      <c r="F43">
        <v>-1.5232408299999999E-7</v>
      </c>
      <c r="G43">
        <v>-2.9552933239999999E-7</v>
      </c>
      <c r="H43" t="str">
        <f t="shared" si="1"/>
        <v>Y</v>
      </c>
      <c r="I43" t="s">
        <v>205</v>
      </c>
    </row>
    <row r="44" spans="1:9" x14ac:dyDescent="0.2">
      <c r="A44" t="s">
        <v>114</v>
      </c>
      <c r="B44">
        <v>0</v>
      </c>
      <c r="C44">
        <v>0.62059839689149399</v>
      </c>
      <c r="D44">
        <v>0</v>
      </c>
      <c r="E44">
        <v>0.59925559611221202</v>
      </c>
      <c r="F44">
        <v>0.936944231003216</v>
      </c>
      <c r="G44">
        <v>0.85810128918238604</v>
      </c>
      <c r="H44" t="str">
        <f t="shared" si="1"/>
        <v>Y</v>
      </c>
      <c r="I44" t="s">
        <v>207</v>
      </c>
    </row>
    <row r="45" spans="1:9" x14ac:dyDescent="0.2">
      <c r="A45" t="s">
        <v>115</v>
      </c>
      <c r="B45">
        <v>0</v>
      </c>
      <c r="C45">
        <v>0.50785147928623597</v>
      </c>
      <c r="D45">
        <v>0</v>
      </c>
      <c r="E45">
        <v>0.47744827936710399</v>
      </c>
      <c r="F45">
        <v>0.85362661175561605</v>
      </c>
      <c r="G45">
        <v>0.84820047446723501</v>
      </c>
      <c r="H45" t="str">
        <f t="shared" si="1"/>
        <v>Y</v>
      </c>
      <c r="I45" t="s">
        <v>207</v>
      </c>
    </row>
    <row r="46" spans="1:9" x14ac:dyDescent="0.2">
      <c r="A46" t="s">
        <v>116</v>
      </c>
      <c r="B46">
        <v>0</v>
      </c>
      <c r="C46">
        <v>-2.1991202114131898</v>
      </c>
      <c r="D46">
        <v>0</v>
      </c>
      <c r="E46">
        <v>-1.72067702170194</v>
      </c>
      <c r="F46">
        <v>-1.5382238276355</v>
      </c>
      <c r="G46">
        <v>-1.0987110077704301</v>
      </c>
      <c r="H46" t="str">
        <f t="shared" si="1"/>
        <v>Y</v>
      </c>
      <c r="I46" t="s">
        <v>207</v>
      </c>
    </row>
    <row r="47" spans="1:9" x14ac:dyDescent="0.2">
      <c r="A47" t="s">
        <v>117</v>
      </c>
      <c r="B47">
        <v>0</v>
      </c>
      <c r="C47">
        <v>-2.8090905835064</v>
      </c>
      <c r="D47">
        <v>0</v>
      </c>
      <c r="E47">
        <v>-2.24064936845545</v>
      </c>
      <c r="F47">
        <v>-2.33948463970808</v>
      </c>
      <c r="G47">
        <v>-1.36716291233552</v>
      </c>
      <c r="H47" t="str">
        <f t="shared" si="1"/>
        <v>Y</v>
      </c>
      <c r="I47" t="s">
        <v>207</v>
      </c>
    </row>
    <row r="48" spans="1:9" x14ac:dyDescent="0.2">
      <c r="A48" t="s">
        <v>118</v>
      </c>
      <c r="B48">
        <v>0</v>
      </c>
      <c r="C48">
        <v>0.164824968220639</v>
      </c>
      <c r="D48">
        <v>0</v>
      </c>
      <c r="E48">
        <v>0.15835779514231699</v>
      </c>
      <c r="F48">
        <v>-1.3488533112443E-3</v>
      </c>
      <c r="G48">
        <v>7.7746849480618996E-2</v>
      </c>
      <c r="H48" t="str">
        <f t="shared" si="1"/>
        <v>Y</v>
      </c>
      <c r="I48" t="s">
        <v>207</v>
      </c>
    </row>
    <row r="49" spans="1:10" x14ac:dyDescent="0.2">
      <c r="A49" t="s">
        <v>119</v>
      </c>
      <c r="B49">
        <v>0</v>
      </c>
      <c r="C49">
        <v>1.8529432503169501E-2</v>
      </c>
      <c r="D49">
        <v>0</v>
      </c>
      <c r="E49">
        <v>1.4378095759977699E-2</v>
      </c>
      <c r="F49">
        <v>1.4194774975581101E-2</v>
      </c>
      <c r="G49">
        <v>6.532999224634E-3</v>
      </c>
      <c r="H49" t="str">
        <f t="shared" si="1"/>
        <v>Y</v>
      </c>
      <c r="I49" t="s">
        <v>207</v>
      </c>
    </row>
    <row r="50" spans="1:10" x14ac:dyDescent="0.2">
      <c r="A50" t="s">
        <v>120</v>
      </c>
      <c r="B50">
        <v>0</v>
      </c>
      <c r="C50">
        <v>0.52227268579308395</v>
      </c>
      <c r="D50">
        <v>0</v>
      </c>
      <c r="E50">
        <v>0.417038098120116</v>
      </c>
      <c r="F50">
        <v>0.25047847190938199</v>
      </c>
      <c r="G50">
        <v>0.16513705454705899</v>
      </c>
      <c r="H50" t="str">
        <f t="shared" si="1"/>
        <v>Y</v>
      </c>
      <c r="I50" t="s">
        <v>207</v>
      </c>
    </row>
    <row r="51" spans="1:10" x14ac:dyDescent="0.2">
      <c r="A51" t="s">
        <v>121</v>
      </c>
      <c r="B51">
        <v>0</v>
      </c>
      <c r="C51">
        <v>0</v>
      </c>
      <c r="D51">
        <v>0</v>
      </c>
      <c r="E51">
        <v>0</v>
      </c>
      <c r="F51">
        <v>3.2426570273524002E-3</v>
      </c>
      <c r="G51">
        <v>-0.15861582040355299</v>
      </c>
      <c r="H51" t="str">
        <f t="shared" si="1"/>
        <v>Y</v>
      </c>
      <c r="I51" t="s">
        <v>208</v>
      </c>
    </row>
    <row r="52" spans="1:10" x14ac:dyDescent="0.2">
      <c r="A52" t="s">
        <v>122</v>
      </c>
      <c r="B52">
        <v>0</v>
      </c>
      <c r="C52">
        <v>0</v>
      </c>
      <c r="D52">
        <v>0</v>
      </c>
      <c r="E52">
        <v>0</v>
      </c>
      <c r="F52">
        <v>-0.109313634130027</v>
      </c>
      <c r="G52">
        <v>-0.492759700145113</v>
      </c>
      <c r="H52" t="str">
        <f t="shared" si="1"/>
        <v>Y</v>
      </c>
      <c r="I52" t="s">
        <v>208</v>
      </c>
    </row>
    <row r="53" spans="1:10" x14ac:dyDescent="0.2">
      <c r="A53" t="s">
        <v>123</v>
      </c>
      <c r="B53">
        <v>0</v>
      </c>
      <c r="C53">
        <v>0</v>
      </c>
      <c r="D53">
        <v>0</v>
      </c>
      <c r="E53">
        <v>0</v>
      </c>
      <c r="F53">
        <v>0.26577749363643099</v>
      </c>
      <c r="G53">
        <v>3.8831669251795001E-2</v>
      </c>
      <c r="H53" t="str">
        <f t="shared" si="1"/>
        <v>Y</v>
      </c>
      <c r="I53" t="s">
        <v>208</v>
      </c>
    </row>
    <row r="54" spans="1:10" x14ac:dyDescent="0.2">
      <c r="A54" t="s">
        <v>124</v>
      </c>
      <c r="B54">
        <v>0</v>
      </c>
      <c r="C54">
        <v>0</v>
      </c>
      <c r="D54">
        <v>0</v>
      </c>
      <c r="E54">
        <v>0</v>
      </c>
      <c r="F54">
        <v>0.31691625587218802</v>
      </c>
      <c r="G54">
        <v>-8.5933847304871303E-2</v>
      </c>
      <c r="H54" t="str">
        <f t="shared" si="1"/>
        <v>Y</v>
      </c>
      <c r="I54" t="s">
        <v>208</v>
      </c>
    </row>
    <row r="55" spans="1:10" x14ac:dyDescent="0.2">
      <c r="A55" t="s">
        <v>125</v>
      </c>
      <c r="B55">
        <v>0</v>
      </c>
      <c r="C55">
        <v>0</v>
      </c>
      <c r="D55">
        <v>0</v>
      </c>
      <c r="E55">
        <v>0</v>
      </c>
      <c r="F55">
        <v>0</v>
      </c>
      <c r="G55">
        <v>0.385215247009075</v>
      </c>
      <c r="H55" t="str">
        <f t="shared" si="1"/>
        <v>Y</v>
      </c>
      <c r="I55" t="s">
        <v>202</v>
      </c>
    </row>
    <row r="56" spans="1:10" x14ac:dyDescent="0.2">
      <c r="A56" t="s">
        <v>126</v>
      </c>
      <c r="B56">
        <v>0</v>
      </c>
      <c r="C56">
        <v>0</v>
      </c>
      <c r="D56">
        <v>8.4804915835575298E-2</v>
      </c>
      <c r="E56">
        <v>0.105430245512805</v>
      </c>
      <c r="F56">
        <v>0</v>
      </c>
      <c r="G56">
        <v>4.4223953156797703E-2</v>
      </c>
      <c r="H56" t="str">
        <f t="shared" si="1"/>
        <v>Y</v>
      </c>
      <c r="I56" t="s">
        <v>202</v>
      </c>
    </row>
    <row r="57" spans="1:10" x14ac:dyDescent="0.2">
      <c r="A57" t="s">
        <v>127</v>
      </c>
      <c r="B57">
        <v>0</v>
      </c>
      <c r="C57">
        <v>0</v>
      </c>
      <c r="D57">
        <v>3.1778373380937697E-2</v>
      </c>
      <c r="E57">
        <v>3.3181566432316102E-2</v>
      </c>
      <c r="F57">
        <v>0</v>
      </c>
      <c r="G57">
        <v>7.3462846618329303E-2</v>
      </c>
      <c r="H57" t="str">
        <f t="shared" si="1"/>
        <v>Y</v>
      </c>
      <c r="I57" t="s">
        <v>202</v>
      </c>
    </row>
    <row r="58" spans="1:10" x14ac:dyDescent="0.2">
      <c r="A58" t="s">
        <v>128</v>
      </c>
      <c r="B58">
        <v>0</v>
      </c>
      <c r="C58">
        <v>0</v>
      </c>
      <c r="D58">
        <v>-0.266331545877519</v>
      </c>
      <c r="E58">
        <v>-0.25791073830965699</v>
      </c>
      <c r="F58">
        <v>0</v>
      </c>
      <c r="G58">
        <v>0</v>
      </c>
      <c r="H58" t="str">
        <f t="shared" si="1"/>
        <v>Y</v>
      </c>
      <c r="I58" t="s">
        <v>210</v>
      </c>
    </row>
    <row r="59" spans="1:10" x14ac:dyDescent="0.2">
      <c r="A59" t="s">
        <v>129</v>
      </c>
      <c r="B59">
        <v>0</v>
      </c>
      <c r="C59">
        <v>0</v>
      </c>
      <c r="D59">
        <v>3.6405188500513802E-2</v>
      </c>
      <c r="E59">
        <v>2.8975827770575401E-2</v>
      </c>
      <c r="F59">
        <v>0</v>
      </c>
      <c r="G59">
        <v>0</v>
      </c>
      <c r="H59" t="str">
        <f t="shared" si="1"/>
        <v>Y</v>
      </c>
      <c r="I59" s="4" t="s">
        <v>203</v>
      </c>
      <c r="J59" t="s">
        <v>103</v>
      </c>
    </row>
    <row r="60" spans="1:10" x14ac:dyDescent="0.2">
      <c r="A60" t="s">
        <v>130</v>
      </c>
      <c r="B60">
        <v>0</v>
      </c>
      <c r="C60">
        <v>0</v>
      </c>
      <c r="D60">
        <v>0.14165526192442801</v>
      </c>
      <c r="E60">
        <v>0.11752751524477099</v>
      </c>
      <c r="F60">
        <v>0</v>
      </c>
      <c r="G60">
        <v>0</v>
      </c>
      <c r="H60" t="str">
        <f t="shared" si="1"/>
        <v>Y</v>
      </c>
      <c r="I60" t="s">
        <v>202</v>
      </c>
    </row>
    <row r="61" spans="1:10" x14ac:dyDescent="0.2">
      <c r="A61" t="s">
        <v>131</v>
      </c>
      <c r="B61">
        <v>0</v>
      </c>
      <c r="C61">
        <v>0</v>
      </c>
      <c r="D61">
        <v>6.3566919683394896E-2</v>
      </c>
      <c r="E61">
        <v>0.10847373067240899</v>
      </c>
      <c r="F61">
        <v>0</v>
      </c>
      <c r="G61">
        <v>0</v>
      </c>
      <c r="H61" t="str">
        <f t="shared" si="1"/>
        <v>Y</v>
      </c>
      <c r="I61" s="5" t="s">
        <v>203</v>
      </c>
      <c r="J61" t="s">
        <v>103</v>
      </c>
    </row>
    <row r="62" spans="1:10" x14ac:dyDescent="0.2">
      <c r="A62" t="s">
        <v>132</v>
      </c>
      <c r="B62">
        <v>0</v>
      </c>
      <c r="C62">
        <v>0</v>
      </c>
      <c r="D62">
        <v>0.12649160259202899</v>
      </c>
      <c r="E62">
        <v>6.55491304584261E-2</v>
      </c>
      <c r="F62">
        <v>0</v>
      </c>
      <c r="G62">
        <v>0</v>
      </c>
      <c r="H62" t="str">
        <f t="shared" si="1"/>
        <v>Y</v>
      </c>
      <c r="I62" t="s">
        <v>202</v>
      </c>
    </row>
    <row r="63" spans="1:10" x14ac:dyDescent="0.2">
      <c r="A63" t="s">
        <v>133</v>
      </c>
      <c r="B63">
        <v>0</v>
      </c>
      <c r="C63">
        <v>0</v>
      </c>
      <c r="D63">
        <v>0.182096496867273</v>
      </c>
      <c r="E63">
        <v>0</v>
      </c>
      <c r="F63">
        <v>0</v>
      </c>
      <c r="G63">
        <v>0</v>
      </c>
      <c r="H63" t="str">
        <f t="shared" si="1"/>
        <v>Y</v>
      </c>
      <c r="I63" t="s">
        <v>209</v>
      </c>
    </row>
    <row r="64" spans="1:10" x14ac:dyDescent="0.2">
      <c r="A64" t="s">
        <v>134</v>
      </c>
      <c r="B64">
        <v>0</v>
      </c>
      <c r="C64">
        <v>0</v>
      </c>
      <c r="D64">
        <v>0</v>
      </c>
      <c r="E64">
        <v>5.7690684554484402E-2</v>
      </c>
      <c r="F64">
        <v>0</v>
      </c>
      <c r="G64">
        <v>0</v>
      </c>
      <c r="H64" t="str">
        <f t="shared" si="1"/>
        <v>Y</v>
      </c>
      <c r="I64" t="s">
        <v>209</v>
      </c>
    </row>
    <row r="65" spans="1:10" x14ac:dyDescent="0.2">
      <c r="A65" t="s">
        <v>135</v>
      </c>
      <c r="B65">
        <v>0</v>
      </c>
      <c r="C65">
        <v>0</v>
      </c>
      <c r="D65">
        <v>0.17892958261215</v>
      </c>
      <c r="E65">
        <v>7.5393522485422804E-2</v>
      </c>
      <c r="F65">
        <v>0</v>
      </c>
      <c r="G65">
        <v>0</v>
      </c>
      <c r="H65" t="str">
        <f t="shared" si="1"/>
        <v>Y</v>
      </c>
      <c r="I65" t="s">
        <v>202</v>
      </c>
    </row>
    <row r="66" spans="1:10" x14ac:dyDescent="0.2">
      <c r="A66" t="s">
        <v>136</v>
      </c>
      <c r="B66">
        <v>0</v>
      </c>
      <c r="C66">
        <v>0</v>
      </c>
      <c r="D66">
        <v>0.109095964190426</v>
      </c>
      <c r="E66">
        <v>9.0259521560279804E-2</v>
      </c>
      <c r="F66">
        <v>0</v>
      </c>
      <c r="G66">
        <v>0</v>
      </c>
      <c r="H66" t="str">
        <f t="shared" ref="H66:H90" si="2">IF(OR(G66=0,F66=0,E66=0,D66=0,C66=0,B66=0)=TRUE,"Y","N")</f>
        <v>Y</v>
      </c>
      <c r="I66" t="s">
        <v>202</v>
      </c>
    </row>
    <row r="67" spans="1:10" x14ac:dyDescent="0.2">
      <c r="A67" t="s">
        <v>137</v>
      </c>
      <c r="B67">
        <v>0</v>
      </c>
      <c r="C67">
        <v>0</v>
      </c>
      <c r="D67">
        <v>6.0513547069115201E-2</v>
      </c>
      <c r="E67">
        <v>8.7313111600886006E-2</v>
      </c>
      <c r="F67">
        <v>0</v>
      </c>
      <c r="G67">
        <v>0</v>
      </c>
      <c r="H67" t="str">
        <f t="shared" si="2"/>
        <v>Y</v>
      </c>
      <c r="I67" t="s">
        <v>202</v>
      </c>
    </row>
    <row r="68" spans="1:10" x14ac:dyDescent="0.2">
      <c r="A68" t="s">
        <v>138</v>
      </c>
      <c r="B68">
        <v>0</v>
      </c>
      <c r="C68">
        <v>0</v>
      </c>
      <c r="D68">
        <v>2.52240614607483E-2</v>
      </c>
      <c r="E68">
        <v>0.13901881298024499</v>
      </c>
      <c r="F68">
        <v>0</v>
      </c>
      <c r="G68">
        <v>0</v>
      </c>
      <c r="H68" t="str">
        <f t="shared" si="2"/>
        <v>Y</v>
      </c>
      <c r="I68" t="s">
        <v>202</v>
      </c>
    </row>
    <row r="69" spans="1:10" x14ac:dyDescent="0.2">
      <c r="A69" t="s">
        <v>139</v>
      </c>
      <c r="B69">
        <v>0</v>
      </c>
      <c r="C69">
        <v>0</v>
      </c>
      <c r="D69">
        <v>7.6435334816451303E-2</v>
      </c>
      <c r="E69">
        <v>5.8746912370827901E-2</v>
      </c>
      <c r="F69">
        <v>0</v>
      </c>
      <c r="G69">
        <v>0</v>
      </c>
      <c r="H69" t="str">
        <f t="shared" si="2"/>
        <v>Y</v>
      </c>
      <c r="I69" t="s">
        <v>202</v>
      </c>
    </row>
    <row r="70" spans="1:10" x14ac:dyDescent="0.2">
      <c r="A70" t="s">
        <v>140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tr">
        <f t="shared" si="2"/>
        <v>Y</v>
      </c>
      <c r="I70" t="s">
        <v>209</v>
      </c>
    </row>
    <row r="71" spans="1:10" x14ac:dyDescent="0.2">
      <c r="A71" t="s">
        <v>141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 t="str">
        <f t="shared" si="2"/>
        <v>Y</v>
      </c>
      <c r="I71" t="s">
        <v>209</v>
      </c>
    </row>
    <row r="72" spans="1:10" x14ac:dyDescent="0.2">
      <c r="A72" t="s">
        <v>142</v>
      </c>
      <c r="B72">
        <v>0</v>
      </c>
      <c r="C72">
        <v>0</v>
      </c>
      <c r="D72">
        <v>4.9300440360878002E-2</v>
      </c>
      <c r="E72">
        <v>1.8647061979710001E-3</v>
      </c>
      <c r="F72">
        <v>0</v>
      </c>
      <c r="G72">
        <v>0</v>
      </c>
      <c r="H72" t="str">
        <f t="shared" si="2"/>
        <v>Y</v>
      </c>
      <c r="I72" t="s">
        <v>202</v>
      </c>
    </row>
    <row r="73" spans="1:10" x14ac:dyDescent="0.2">
      <c r="A73" t="s">
        <v>143</v>
      </c>
      <c r="B73">
        <v>0</v>
      </c>
      <c r="C73">
        <v>0</v>
      </c>
      <c r="D73">
        <v>0.20223173725170601</v>
      </c>
      <c r="E73">
        <v>0.34219755115315798</v>
      </c>
      <c r="F73">
        <v>0</v>
      </c>
      <c r="G73">
        <v>0</v>
      </c>
      <c r="H73" t="str">
        <f t="shared" si="2"/>
        <v>Y</v>
      </c>
      <c r="I73" t="s">
        <v>202</v>
      </c>
    </row>
    <row r="74" spans="1:10" x14ac:dyDescent="0.2">
      <c r="A74" t="s">
        <v>144</v>
      </c>
      <c r="B74">
        <v>0</v>
      </c>
      <c r="C74">
        <v>0</v>
      </c>
      <c r="D74">
        <v>2.6779430865112301E-2</v>
      </c>
      <c r="E74">
        <v>0.15005320889026599</v>
      </c>
      <c r="F74">
        <v>0</v>
      </c>
      <c r="G74">
        <v>0</v>
      </c>
      <c r="H74" t="str">
        <f t="shared" si="2"/>
        <v>Y</v>
      </c>
      <c r="I74" t="s">
        <v>202</v>
      </c>
    </row>
    <row r="75" spans="1:10" x14ac:dyDescent="0.2">
      <c r="A75" t="s">
        <v>145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 t="str">
        <f t="shared" si="2"/>
        <v>Y</v>
      </c>
      <c r="I75" t="s">
        <v>211</v>
      </c>
    </row>
    <row r="76" spans="1:10" x14ac:dyDescent="0.2">
      <c r="A76" t="s">
        <v>146</v>
      </c>
      <c r="B76">
        <v>0</v>
      </c>
      <c r="C76">
        <v>0</v>
      </c>
      <c r="D76">
        <v>8.6154249933930005E-2</v>
      </c>
      <c r="E76">
        <v>5.6650134265177898E-2</v>
      </c>
      <c r="F76">
        <v>0</v>
      </c>
      <c r="G76">
        <v>0</v>
      </c>
      <c r="H76" t="str">
        <f t="shared" si="2"/>
        <v>Y</v>
      </c>
      <c r="I76" t="s">
        <v>202</v>
      </c>
    </row>
    <row r="77" spans="1:10" x14ac:dyDescent="0.2">
      <c r="A77" t="s">
        <v>147</v>
      </c>
      <c r="B77">
        <v>0</v>
      </c>
      <c r="C77">
        <v>0</v>
      </c>
      <c r="D77">
        <v>7.4500670360177199E-2</v>
      </c>
      <c r="E77">
        <v>0.122533179215598</v>
      </c>
      <c r="F77">
        <v>0</v>
      </c>
      <c r="G77">
        <v>7.6554599290370506E-2</v>
      </c>
      <c r="H77" t="str">
        <f t="shared" si="2"/>
        <v>Y</v>
      </c>
      <c r="I77" t="s">
        <v>202</v>
      </c>
    </row>
    <row r="78" spans="1:10" x14ac:dyDescent="0.2">
      <c r="A78" t="s">
        <v>148</v>
      </c>
      <c r="B78">
        <v>0</v>
      </c>
      <c r="C78">
        <v>0</v>
      </c>
      <c r="D78">
        <v>3.3842743646510798E-2</v>
      </c>
      <c r="E78">
        <v>9.8112617276630398E-2</v>
      </c>
      <c r="F78">
        <v>0</v>
      </c>
      <c r="G78">
        <v>0</v>
      </c>
      <c r="H78" t="str">
        <f t="shared" si="2"/>
        <v>Y</v>
      </c>
      <c r="I78" s="5" t="s">
        <v>203</v>
      </c>
      <c r="J78" t="s">
        <v>103</v>
      </c>
    </row>
    <row r="79" spans="1:10" x14ac:dyDescent="0.2">
      <c r="A79" t="s">
        <v>149</v>
      </c>
      <c r="B79">
        <v>0</v>
      </c>
      <c r="C79">
        <v>0</v>
      </c>
      <c r="D79">
        <v>4.2198837009529699E-2</v>
      </c>
      <c r="E79">
        <v>3.2358133015797701E-2</v>
      </c>
      <c r="F79">
        <v>0</v>
      </c>
      <c r="G79">
        <v>0</v>
      </c>
      <c r="H79" t="str">
        <f t="shared" si="2"/>
        <v>Y</v>
      </c>
      <c r="I79" s="5" t="s">
        <v>203</v>
      </c>
      <c r="J79" t="s">
        <v>103</v>
      </c>
    </row>
    <row r="80" spans="1:10" x14ac:dyDescent="0.2">
      <c r="A80" t="s">
        <v>150</v>
      </c>
      <c r="B80">
        <v>0</v>
      </c>
      <c r="C80">
        <v>0</v>
      </c>
      <c r="D80">
        <v>0</v>
      </c>
      <c r="E80">
        <v>9.1904896744702994E-2</v>
      </c>
      <c r="F80">
        <v>0</v>
      </c>
      <c r="G80">
        <v>0.124207407357376</v>
      </c>
      <c r="H80" t="str">
        <f t="shared" si="2"/>
        <v>Y</v>
      </c>
      <c r="I80" t="s">
        <v>202</v>
      </c>
    </row>
    <row r="81" spans="1:10" x14ac:dyDescent="0.2">
      <c r="A81" t="s">
        <v>151</v>
      </c>
      <c r="B81">
        <v>0</v>
      </c>
      <c r="C81">
        <v>0</v>
      </c>
      <c r="D81">
        <v>4.3908309544141703E-2</v>
      </c>
      <c r="E81">
        <v>0</v>
      </c>
      <c r="F81">
        <v>0</v>
      </c>
      <c r="G81">
        <v>9.8231547368146793E-2</v>
      </c>
      <c r="H81" t="str">
        <f t="shared" si="2"/>
        <v>Y</v>
      </c>
      <c r="I81" s="5" t="s">
        <v>204</v>
      </c>
      <c r="J81" t="s">
        <v>103</v>
      </c>
    </row>
    <row r="82" spans="1:10" x14ac:dyDescent="0.2">
      <c r="A82" t="s">
        <v>152</v>
      </c>
      <c r="B82">
        <v>0</v>
      </c>
      <c r="C82">
        <v>0</v>
      </c>
      <c r="D82">
        <v>0</v>
      </c>
      <c r="E82">
        <v>0</v>
      </c>
      <c r="F82">
        <v>0</v>
      </c>
      <c r="G82">
        <v>0.35530881979801698</v>
      </c>
      <c r="H82" t="str">
        <f t="shared" si="2"/>
        <v>Y</v>
      </c>
      <c r="I82" t="s">
        <v>202</v>
      </c>
    </row>
    <row r="83" spans="1:10" x14ac:dyDescent="0.2">
      <c r="A83" t="s">
        <v>153</v>
      </c>
      <c r="B83">
        <v>0</v>
      </c>
      <c r="C83">
        <v>0</v>
      </c>
      <c r="D83">
        <v>0</v>
      </c>
      <c r="E83">
        <v>0</v>
      </c>
      <c r="F83">
        <v>0</v>
      </c>
      <c r="G83">
        <v>0.39984582678849401</v>
      </c>
      <c r="H83" t="str">
        <f t="shared" si="2"/>
        <v>Y</v>
      </c>
      <c r="I83" t="s">
        <v>202</v>
      </c>
    </row>
    <row r="84" spans="1:10" x14ac:dyDescent="0.2">
      <c r="A84" t="s">
        <v>154</v>
      </c>
      <c r="B84">
        <v>0</v>
      </c>
      <c r="C84">
        <v>0</v>
      </c>
      <c r="D84">
        <v>0</v>
      </c>
      <c r="E84">
        <v>0</v>
      </c>
      <c r="F84">
        <v>0</v>
      </c>
      <c r="G84">
        <v>0.53451091291927699</v>
      </c>
      <c r="H84" t="str">
        <f t="shared" si="2"/>
        <v>Y</v>
      </c>
      <c r="I84" t="s">
        <v>202</v>
      </c>
    </row>
    <row r="85" spans="1:10" x14ac:dyDescent="0.2">
      <c r="A85" t="s">
        <v>155</v>
      </c>
      <c r="B85">
        <v>0</v>
      </c>
      <c r="C85">
        <v>0</v>
      </c>
      <c r="D85">
        <v>0</v>
      </c>
      <c r="E85">
        <v>0</v>
      </c>
      <c r="F85">
        <v>0</v>
      </c>
      <c r="G85">
        <v>0.78040392588458196</v>
      </c>
      <c r="H85" t="str">
        <f t="shared" si="2"/>
        <v>Y</v>
      </c>
      <c r="I85" t="s">
        <v>202</v>
      </c>
    </row>
    <row r="86" spans="1:10" x14ac:dyDescent="0.2">
      <c r="A86" t="s">
        <v>156</v>
      </c>
      <c r="B86">
        <v>0</v>
      </c>
      <c r="C86">
        <v>0</v>
      </c>
      <c r="D86">
        <v>0</v>
      </c>
      <c r="E86">
        <v>0</v>
      </c>
      <c r="F86">
        <v>0</v>
      </c>
      <c r="G86">
        <v>0.29056223033550399</v>
      </c>
      <c r="H86" t="str">
        <f t="shared" si="2"/>
        <v>Y</v>
      </c>
      <c r="I86" t="s">
        <v>202</v>
      </c>
    </row>
    <row r="87" spans="1:10" x14ac:dyDescent="0.2">
      <c r="A87" t="s">
        <v>157</v>
      </c>
      <c r="B87">
        <v>0</v>
      </c>
      <c r="C87">
        <v>0</v>
      </c>
      <c r="D87">
        <v>0</v>
      </c>
      <c r="E87">
        <v>0</v>
      </c>
      <c r="F87">
        <v>0</v>
      </c>
      <c r="G87">
        <v>0.18389183160770101</v>
      </c>
      <c r="H87" t="str">
        <f t="shared" si="2"/>
        <v>Y</v>
      </c>
      <c r="I87" t="s">
        <v>202</v>
      </c>
    </row>
    <row r="88" spans="1:10" x14ac:dyDescent="0.2">
      <c r="A88" t="s">
        <v>158</v>
      </c>
      <c r="B88">
        <v>0</v>
      </c>
      <c r="C88">
        <v>0</v>
      </c>
      <c r="D88">
        <v>0</v>
      </c>
      <c r="E88">
        <v>0</v>
      </c>
      <c r="F88">
        <v>0</v>
      </c>
      <c r="G88">
        <v>0.23140707755100801</v>
      </c>
      <c r="H88" t="str">
        <f t="shared" si="2"/>
        <v>Y</v>
      </c>
      <c r="I88" t="s">
        <v>202</v>
      </c>
    </row>
    <row r="89" spans="1:10" x14ac:dyDescent="0.2">
      <c r="A89" t="s">
        <v>159</v>
      </c>
      <c r="B89">
        <v>0</v>
      </c>
      <c r="C89">
        <v>0</v>
      </c>
      <c r="D89">
        <v>0</v>
      </c>
      <c r="E89">
        <v>0</v>
      </c>
      <c r="F89">
        <v>0</v>
      </c>
      <c r="G89">
        <v>1.0149106113419499</v>
      </c>
      <c r="H89" t="str">
        <f t="shared" si="2"/>
        <v>Y</v>
      </c>
      <c r="I89" t="s">
        <v>202</v>
      </c>
    </row>
    <row r="90" spans="1:10" x14ac:dyDescent="0.2">
      <c r="A90" t="s">
        <v>160</v>
      </c>
      <c r="B90">
        <v>0</v>
      </c>
      <c r="C90">
        <v>0</v>
      </c>
      <c r="D90">
        <v>0</v>
      </c>
      <c r="E90">
        <v>0</v>
      </c>
      <c r="F90">
        <v>0</v>
      </c>
      <c r="G90">
        <v>7.3649024927637001E-3</v>
      </c>
      <c r="H90" t="str">
        <f t="shared" si="2"/>
        <v>Y</v>
      </c>
      <c r="I90" t="s">
        <v>202</v>
      </c>
    </row>
  </sheetData>
  <autoFilter ref="A1:H90" xr:uid="{9E184558-BC56-4490-BC9C-536AF1B83C0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0E1FBEF1A5B948A87C0B389DC5DB2E" ma:contentTypeVersion="3" ma:contentTypeDescription="Create a new document." ma:contentTypeScope="" ma:versionID="fbe41d5b9331aa7762730bdafbbb9fca">
  <xsd:schema xmlns:xsd="http://www.w3.org/2001/XMLSchema" xmlns:xs="http://www.w3.org/2001/XMLSchema" xmlns:p="http://schemas.microsoft.com/office/2006/metadata/properties" xmlns:ns2="2715bc29-68cb-4af3-883a-7773fe7844be" targetNamespace="http://schemas.microsoft.com/office/2006/metadata/properties" ma:root="true" ma:fieldsID="e4a3e70597ee21988b5dcb00eb88438a" ns2:_="">
    <xsd:import namespace="2715bc29-68cb-4af3-883a-7773fe7844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5bc29-68cb-4af3-883a-7773fe7844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199C31-48B1-490B-A194-08D98129BC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32450E-AFC7-45D1-9C83-D535664516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15bc29-68cb-4af3-883a-7773fe7844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3A4330-F882-48EB-84A6-4C413EAC9C8A}">
  <ds:schemaRefs>
    <ds:schemaRef ds:uri="http://purl.org/dc/dcmitype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2715bc29-68cb-4af3-883a-7773fe7844be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Sheet1</vt:lpstr>
      <vt:lpstr>OGRS</vt:lpstr>
      <vt:lpstr>OVP</vt:lpstr>
      <vt:lpstr>OSP-DC</vt:lpstr>
      <vt:lpstr>OSP-IIC</vt:lpstr>
      <vt:lpstr>IIC DC Comparison</vt:lpstr>
      <vt:lpstr>CRNs</vt:lpstr>
      <vt:lpstr>Test data</vt:lpstr>
      <vt:lpstr>Ref</vt:lpstr>
      <vt:lpstr>AAED Workout</vt:lpstr>
      <vt:lpstr>Unused Questions</vt:lpstr>
      <vt:lpstr>assessmentTypes</vt:lpstr>
      <vt:lpstr>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Howard</dc:creator>
  <cp:keywords/>
  <dc:description/>
  <cp:lastModifiedBy>Hiorns, Martin [HMPS]</cp:lastModifiedBy>
  <cp:revision/>
  <dcterms:created xsi:type="dcterms:W3CDTF">2025-11-06T05:04:41Z</dcterms:created>
  <dcterms:modified xsi:type="dcterms:W3CDTF">2026-07-24T10:24:42Z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0x010100710E1FBEF1A5B948A87C0B389DC5DB2E</vt:lpwstr>
  </property>
</Properties>
</file>